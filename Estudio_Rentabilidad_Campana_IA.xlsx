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arametros" sheetId="1" state="visible" r:id="rId1"/>
    <sheet xmlns:r="http://schemas.openxmlformats.org/officeDocument/2006/relationships" name="Costeo Generacion IA" sheetId="2" state="visible" r:id="rId2"/>
    <sheet xmlns:r="http://schemas.openxmlformats.org/officeDocument/2006/relationships" name="Horas Estimadas" sheetId="3" state="visible" r:id="rId3"/>
    <sheet xmlns:r="http://schemas.openxmlformats.org/officeDocument/2006/relationships" name="Resumen y Cotizacion" sheetId="4" state="visible" r:id="rId4"/>
    <sheet xmlns:r="http://schemas.openxmlformats.org/officeDocument/2006/relationships" name="Escenario Mixto Video-Fotos" sheetId="5" state="visible" r:id="rId5"/>
    <sheet xmlns:r="http://schemas.openxmlformats.org/officeDocument/2006/relationships" name="Escenario Sin Video 5 Fotos" sheetId="6" state="visible" r:id="rId6"/>
    <sheet xmlns:r="http://schemas.openxmlformats.org/officeDocument/2006/relationships" name="Opcion B - 6 Fotos"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0"/>
    <numFmt numFmtId="165" formatCode="\$#,##0"/>
    <numFmt numFmtId="166" formatCode="0.0"/>
  </numFmts>
  <fonts count="19">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i val="1"/>
      <color rgb="FF595959"/>
      <sz val="11"/>
    </font>
    <font>
      <name val="Arial"/>
      <charset val="1"/>
      <family val="0"/>
      <b val="1"/>
      <sz val="11"/>
    </font>
    <font>
      <name val="Arial"/>
      <charset val="1"/>
      <family val="0"/>
      <sz val="11"/>
    </font>
    <font>
      <name val="Arial"/>
      <charset val="1"/>
      <family val="0"/>
      <color rgb="FF0000FF"/>
      <sz val="11"/>
    </font>
    <font>
      <name val="Arial"/>
      <charset val="1"/>
      <family val="0"/>
      <b val="1"/>
      <color rgb="FFFFFFFF"/>
      <sz val="11"/>
    </font>
    <font>
      <name val="Arial"/>
      <charset val="1"/>
      <family val="0"/>
      <b val="1"/>
      <i val="1"/>
      <sz val="11"/>
    </font>
    <font>
      <name val="Arial"/>
      <charset val="1"/>
      <family val="0"/>
      <i val="1"/>
      <sz val="11"/>
    </font>
    <font>
      <name val="Arial"/>
      <charset val="1"/>
      <family val="0"/>
      <i val="1"/>
      <color rgb="FF595959"/>
      <sz val="10"/>
    </font>
    <font>
      <name val="Arial"/>
      <b val="1"/>
      <sz val="14"/>
    </font>
    <font>
      <name val="Arial"/>
      <b val="1"/>
      <i val="1"/>
      <color rgb="FF595959"/>
      <sz val="11"/>
    </font>
    <font>
      <b val="1"/>
    </font>
    <font>
      <b val="1"/>
      <color rgb="FFFFFFFF"/>
    </font>
    <font/>
    <font>
      <i val="1"/>
      <color rgb="FF808080"/>
      <sz val="9"/>
    </font>
  </fonts>
  <fills count="13">
    <fill>
      <patternFill/>
    </fill>
    <fill>
      <patternFill patternType="gray125"/>
    </fill>
    <fill>
      <patternFill patternType="solid">
        <fgColor rgb="FFD9E2F3"/>
        <bgColor rgb="FFDDEBF7"/>
      </patternFill>
    </fill>
    <fill>
      <patternFill patternType="solid">
        <fgColor rgb="FFFFFF00"/>
        <bgColor rgb="FFFFFF00"/>
      </patternFill>
    </fill>
    <fill>
      <patternFill patternType="solid">
        <fgColor rgb="FF1F3864"/>
        <bgColor rgb="FF333333"/>
      </patternFill>
    </fill>
    <fill>
      <patternFill patternType="solid">
        <fgColor rgb="FFF2F2F2"/>
        <bgColor rgb="FFDDEBF7"/>
      </patternFill>
    </fill>
    <fill>
      <patternFill patternType="solid">
        <fgColor rgb="FFC6E0B4"/>
        <bgColor rgb="FFD9E2F3"/>
      </patternFill>
    </fill>
    <fill>
      <patternFill patternType="solid">
        <fgColor rgb="FFFFE699"/>
        <bgColor rgb="FFFCE4D6"/>
      </patternFill>
    </fill>
    <fill>
      <patternFill patternType="solid">
        <fgColor rgb="FFDDEBF7"/>
        <bgColor rgb="FFD9E2F3"/>
      </patternFill>
    </fill>
    <fill>
      <patternFill patternType="solid">
        <fgColor rgb="FFFCE4D6"/>
        <bgColor rgb="FFF2F2F2"/>
      </patternFill>
    </fill>
    <fill>
      <patternFill patternType="solid">
        <fgColor rgb="FFD9E2F3"/>
      </patternFill>
    </fill>
    <fill>
      <patternFill patternType="solid">
        <fgColor rgb="FF1F3864"/>
      </patternFill>
    </fill>
    <fill>
      <patternFill patternType="solid">
        <fgColor rgb="FFF2F2F2"/>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0" fillId="2" borderId="1" applyAlignment="1" pivotButton="0" quotePrefix="0" xfId="0">
      <alignment horizontal="general" vertical="bottom"/>
    </xf>
    <xf numFmtId="0" fontId="7" fillId="0" borderId="1" applyAlignment="1" pivotButton="0" quotePrefix="0" xfId="0">
      <alignment horizontal="general" vertical="bottom"/>
    </xf>
    <xf numFmtId="0" fontId="8" fillId="3" borderId="1" applyAlignment="1" pivotButton="0" quotePrefix="0" xfId="0">
      <alignment horizontal="general" vertical="bottom"/>
    </xf>
    <xf numFmtId="0" fontId="0" fillId="0" borderId="1" applyAlignment="1" pivotButton="0" quotePrefix="0" xfId="0">
      <alignment horizontal="general" vertical="bottom"/>
    </xf>
    <xf numFmtId="9" fontId="8" fillId="3" borderId="1" applyAlignment="1" pivotButton="0" quotePrefix="0" xfId="0">
      <alignment horizontal="general" vertical="bottom"/>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9" fillId="4" borderId="1" applyAlignment="1" pivotButton="0" quotePrefix="0" xfId="0">
      <alignment horizontal="center" vertical="bottom" wrapText="1"/>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165" fontId="0" fillId="0" borderId="0" applyAlignment="1" pivotButton="0" quotePrefix="0" xfId="0">
      <alignment horizontal="general" vertical="bottom"/>
    </xf>
    <xf numFmtId="0" fontId="10" fillId="0" borderId="0" applyAlignment="1" pivotButton="0" quotePrefix="0" xfId="0">
      <alignment horizontal="general" vertical="bottom"/>
    </xf>
    <xf numFmtId="0" fontId="6" fillId="5" borderId="0" applyAlignment="1" pivotButton="0" quotePrefix="0" xfId="0">
      <alignment horizontal="general" vertical="bottom"/>
    </xf>
    <xf numFmtId="0" fontId="0" fillId="5" borderId="0" applyAlignment="1" pivotButton="0" quotePrefix="0" xfId="0">
      <alignment horizontal="general" vertical="bottom"/>
    </xf>
    <xf numFmtId="164" fontId="6" fillId="5" borderId="0" applyAlignment="1" pivotButton="0" quotePrefix="0" xfId="0">
      <alignment horizontal="general" vertical="bottom"/>
    </xf>
    <xf numFmtId="165" fontId="6" fillId="5" borderId="0" applyAlignment="1" pivotButton="0" quotePrefix="0" xfId="0">
      <alignment horizontal="general" vertical="bottom"/>
    </xf>
    <xf numFmtId="0" fontId="11" fillId="5" borderId="0" applyAlignment="1" pivotButton="0" quotePrefix="0" xfId="0">
      <alignment horizontal="general" vertical="bottom"/>
    </xf>
    <xf numFmtId="164" fontId="0" fillId="5" borderId="0" applyAlignment="1" pivotButton="0" quotePrefix="0" xfId="0">
      <alignment horizontal="general" vertical="bottom"/>
    </xf>
    <xf numFmtId="165" fontId="0" fillId="5" borderId="0" applyAlignment="1" pivotButton="0" quotePrefix="0" xfId="0">
      <alignment horizontal="general" vertical="bottom"/>
    </xf>
    <xf numFmtId="0" fontId="6" fillId="6" borderId="0" applyAlignment="1" pivotButton="0" quotePrefix="0" xfId="0">
      <alignment horizontal="general" vertical="bottom"/>
    </xf>
    <xf numFmtId="0" fontId="0" fillId="6" borderId="0" applyAlignment="1" pivotButton="0" quotePrefix="0" xfId="0">
      <alignment horizontal="general" vertical="bottom"/>
    </xf>
    <xf numFmtId="164" fontId="6" fillId="6" borderId="0" applyAlignment="1" pivotButton="0" quotePrefix="0" xfId="0">
      <alignment horizontal="general" vertical="bottom"/>
    </xf>
    <xf numFmtId="165" fontId="6" fillId="6" borderId="0" applyAlignment="1" pivotButton="0" quotePrefix="0" xfId="0">
      <alignment horizontal="general" vertical="bottom"/>
    </xf>
    <xf numFmtId="0" fontId="11" fillId="0" borderId="0" applyAlignment="1" pivotButton="0" quotePrefix="0" xfId="0">
      <alignment horizontal="general" vertical="bottom"/>
    </xf>
    <xf numFmtId="164" fontId="0" fillId="0" borderId="0" applyAlignment="1" pivotButton="0" quotePrefix="0" xfId="0">
      <alignment horizontal="general" vertical="bottom"/>
    </xf>
    <xf numFmtId="166" fontId="0" fillId="0" borderId="1" applyAlignment="1" pivotButton="0" quotePrefix="0" xfId="0">
      <alignment horizontal="general" vertical="bottom"/>
    </xf>
    <xf numFmtId="0" fontId="6" fillId="6" borderId="1" applyAlignment="1" pivotButton="0" quotePrefix="0" xfId="0">
      <alignment horizontal="general" vertical="bottom"/>
    </xf>
    <xf numFmtId="0" fontId="0" fillId="6" borderId="1" applyAlignment="1" pivotButton="0" quotePrefix="0" xfId="0">
      <alignment horizontal="general" vertical="bottom"/>
    </xf>
    <xf numFmtId="0" fontId="6" fillId="7" borderId="0" applyAlignment="1" pivotButton="0" quotePrefix="0" xfId="0">
      <alignment horizontal="general" vertical="bottom"/>
    </xf>
    <xf numFmtId="0" fontId="0" fillId="7" borderId="0" applyAlignment="1" pivotButton="0" quotePrefix="0" xfId="0">
      <alignment horizontal="general" vertical="bottom"/>
    </xf>
    <xf numFmtId="165" fontId="6" fillId="7" borderId="0" applyAlignment="1" pivotButton="0" quotePrefix="0" xfId="0">
      <alignment horizontal="general" vertical="bottom"/>
    </xf>
    <xf numFmtId="9" fontId="0" fillId="0" borderId="0" applyAlignment="1" pivotButton="0" quotePrefix="0" xfId="0">
      <alignment horizontal="general" vertical="bottom"/>
    </xf>
    <xf numFmtId="9" fontId="0" fillId="7" borderId="0" applyAlignment="1" pivotButton="0" quotePrefix="0" xfId="0">
      <alignment horizontal="general" vertical="bottom"/>
    </xf>
    <xf numFmtId="165" fontId="0" fillId="7"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12" fillId="0" borderId="0" applyAlignment="1" pivotButton="0" quotePrefix="0" xfId="0">
      <alignment horizontal="general" vertical="bottom" wrapText="1"/>
    </xf>
    <xf numFmtId="0" fontId="0" fillId="8" borderId="0" applyAlignment="1" pivotButton="0" quotePrefix="0" xfId="0">
      <alignment horizontal="general" vertical="bottom"/>
    </xf>
    <xf numFmtId="0" fontId="0" fillId="9" borderId="0" applyAlignment="1" pivotButton="0" quotePrefix="0" xfId="0">
      <alignment horizontal="general" vertical="bottom"/>
    </xf>
    <xf numFmtId="164" fontId="0" fillId="8" borderId="0" applyAlignment="1" pivotButton="0" quotePrefix="0" xfId="0">
      <alignment horizontal="general" vertical="bottom"/>
    </xf>
    <xf numFmtId="165" fontId="0" fillId="8" borderId="0" applyAlignment="1" pivotButton="0" quotePrefix="0" xfId="0">
      <alignment horizontal="general" vertical="bottom"/>
    </xf>
    <xf numFmtId="164" fontId="0" fillId="9" borderId="0" applyAlignment="1" pivotButton="0" quotePrefix="0" xfId="0">
      <alignment horizontal="general" vertical="bottom"/>
    </xf>
    <xf numFmtId="165" fontId="0" fillId="9" borderId="0" applyAlignment="1" pivotButton="0" quotePrefix="0" xfId="0">
      <alignment horizontal="general" vertical="bottom"/>
    </xf>
    <xf numFmtId="164" fontId="6" fillId="7" borderId="0" applyAlignment="1" pivotButton="0" quotePrefix="0" xfId="0">
      <alignment horizontal="general" vertical="bottom"/>
    </xf>
    <xf numFmtId="0" fontId="12"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0" fillId="2" borderId="1" applyAlignment="1" pivotButton="0" quotePrefix="0" xfId="0">
      <alignment horizontal="general" vertical="bottom"/>
    </xf>
    <xf numFmtId="0" fontId="7" fillId="0" borderId="1" applyAlignment="1" pivotButton="0" quotePrefix="0" xfId="0">
      <alignment horizontal="general" vertical="bottom"/>
    </xf>
    <xf numFmtId="0" fontId="8" fillId="3" borderId="1" applyAlignment="1" pivotButton="0" quotePrefix="0" xfId="0">
      <alignment horizontal="general" vertical="bottom"/>
    </xf>
    <xf numFmtId="0" fontId="0" fillId="0" borderId="1" applyAlignment="1" pivotButton="0" quotePrefix="0" xfId="0">
      <alignment horizontal="general" vertical="bottom"/>
    </xf>
    <xf numFmtId="9" fontId="8" fillId="3" borderId="1" applyAlignment="1" pivotButton="0" quotePrefix="0" xfId="0">
      <alignment horizontal="general" vertical="bottom"/>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9" fillId="4" borderId="1" applyAlignment="1" pivotButton="0" quotePrefix="0" xfId="0">
      <alignment horizontal="center" vertical="bottom" wrapText="1"/>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165" fontId="0" fillId="0" borderId="0" applyAlignment="1" pivotButton="0" quotePrefix="0" xfId="0">
      <alignment horizontal="general" vertical="bottom"/>
    </xf>
    <xf numFmtId="0" fontId="10" fillId="0" borderId="0" applyAlignment="1" pivotButton="0" quotePrefix="0" xfId="0">
      <alignment horizontal="general" vertical="bottom"/>
    </xf>
    <xf numFmtId="0" fontId="6" fillId="5" borderId="0" applyAlignment="1" pivotButton="0" quotePrefix="0" xfId="0">
      <alignment horizontal="general" vertical="bottom"/>
    </xf>
    <xf numFmtId="0" fontId="0" fillId="5" borderId="0" applyAlignment="1" pivotButton="0" quotePrefix="0" xfId="0">
      <alignment horizontal="general" vertical="bottom"/>
    </xf>
    <xf numFmtId="164" fontId="6" fillId="5" borderId="0" applyAlignment="1" pivotButton="0" quotePrefix="0" xfId="0">
      <alignment horizontal="general" vertical="bottom"/>
    </xf>
    <xf numFmtId="165" fontId="6" fillId="5" borderId="0" applyAlignment="1" pivotButton="0" quotePrefix="0" xfId="0">
      <alignment horizontal="general" vertical="bottom"/>
    </xf>
    <xf numFmtId="0" fontId="11" fillId="5" borderId="0" applyAlignment="1" pivotButton="0" quotePrefix="0" xfId="0">
      <alignment horizontal="general" vertical="bottom"/>
    </xf>
    <xf numFmtId="164" fontId="0" fillId="5" borderId="0" applyAlignment="1" pivotButton="0" quotePrefix="0" xfId="0">
      <alignment horizontal="general" vertical="bottom"/>
    </xf>
    <xf numFmtId="165" fontId="0" fillId="5" borderId="0" applyAlignment="1" pivotButton="0" quotePrefix="0" xfId="0">
      <alignment horizontal="general" vertical="bottom"/>
    </xf>
    <xf numFmtId="0" fontId="6" fillId="6" borderId="0" applyAlignment="1" pivotButton="0" quotePrefix="0" xfId="0">
      <alignment horizontal="general" vertical="bottom"/>
    </xf>
    <xf numFmtId="0" fontId="0" fillId="6" borderId="0" applyAlignment="1" pivotButton="0" quotePrefix="0" xfId="0">
      <alignment horizontal="general" vertical="bottom"/>
    </xf>
    <xf numFmtId="164" fontId="6" fillId="6" borderId="0" applyAlignment="1" pivotButton="0" quotePrefix="0" xfId="0">
      <alignment horizontal="general" vertical="bottom"/>
    </xf>
    <xf numFmtId="165" fontId="6" fillId="6" borderId="0" applyAlignment="1" pivotButton="0" quotePrefix="0" xfId="0">
      <alignment horizontal="general" vertical="bottom"/>
    </xf>
    <xf numFmtId="0" fontId="11" fillId="0" borderId="0" applyAlignment="1" pivotButton="0" quotePrefix="0" xfId="0">
      <alignment horizontal="general" vertical="bottom"/>
    </xf>
    <xf numFmtId="164" fontId="0" fillId="0" borderId="0" applyAlignment="1" pivotButton="0" quotePrefix="0" xfId="0">
      <alignment horizontal="general" vertical="bottom"/>
    </xf>
    <xf numFmtId="166" fontId="0" fillId="0" borderId="1" applyAlignment="1" pivotButton="0" quotePrefix="0" xfId="0">
      <alignment horizontal="general" vertical="bottom"/>
    </xf>
    <xf numFmtId="0" fontId="6" fillId="6" borderId="1" applyAlignment="1" pivotButton="0" quotePrefix="0" xfId="0">
      <alignment horizontal="general" vertical="bottom"/>
    </xf>
    <xf numFmtId="0" fontId="0" fillId="6" borderId="1" applyAlignment="1" pivotButton="0" quotePrefix="0" xfId="0">
      <alignment horizontal="general" vertical="bottom"/>
    </xf>
    <xf numFmtId="0" fontId="6" fillId="7" borderId="0" applyAlignment="1" pivotButton="0" quotePrefix="0" xfId="0">
      <alignment horizontal="general" vertical="bottom"/>
    </xf>
    <xf numFmtId="0" fontId="0" fillId="7" borderId="0" applyAlignment="1" pivotButton="0" quotePrefix="0" xfId="0">
      <alignment horizontal="general" vertical="bottom"/>
    </xf>
    <xf numFmtId="165" fontId="6" fillId="7" borderId="0" applyAlignment="1" pivotButton="0" quotePrefix="0" xfId="0">
      <alignment horizontal="general" vertical="bottom"/>
    </xf>
    <xf numFmtId="9" fontId="0" fillId="0" borderId="0" applyAlignment="1" pivotButton="0" quotePrefix="0" xfId="0">
      <alignment horizontal="general" vertical="bottom"/>
    </xf>
    <xf numFmtId="9" fontId="0" fillId="7" borderId="0" applyAlignment="1" pivotButton="0" quotePrefix="0" xfId="0">
      <alignment horizontal="general" vertical="bottom"/>
    </xf>
    <xf numFmtId="165" fontId="0" fillId="7"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12" fillId="0" borderId="0" applyAlignment="1" pivotButton="0" quotePrefix="0" xfId="0">
      <alignment horizontal="general" vertical="bottom" wrapText="1"/>
    </xf>
    <xf numFmtId="0" fontId="0" fillId="8" borderId="0" applyAlignment="1" pivotButton="0" quotePrefix="0" xfId="0">
      <alignment horizontal="general" vertical="bottom"/>
    </xf>
    <xf numFmtId="0" fontId="0" fillId="9" borderId="0" applyAlignment="1" pivotButton="0" quotePrefix="0" xfId="0">
      <alignment horizontal="general" vertical="bottom"/>
    </xf>
    <xf numFmtId="164" fontId="0" fillId="8" borderId="0" applyAlignment="1" pivotButton="0" quotePrefix="0" xfId="0">
      <alignment horizontal="general" vertical="bottom"/>
    </xf>
    <xf numFmtId="165" fontId="0" fillId="8" borderId="0" applyAlignment="1" pivotButton="0" quotePrefix="0" xfId="0">
      <alignment horizontal="general" vertical="bottom"/>
    </xf>
    <xf numFmtId="164" fontId="0" fillId="9" borderId="0" applyAlignment="1" pivotButton="0" quotePrefix="0" xfId="0">
      <alignment horizontal="general" vertical="bottom"/>
    </xf>
    <xf numFmtId="165" fontId="0" fillId="9" borderId="0" applyAlignment="1" pivotButton="0" quotePrefix="0" xfId="0">
      <alignment horizontal="general" vertical="bottom"/>
    </xf>
    <xf numFmtId="164" fontId="6" fillId="7" borderId="0" applyAlignment="1" pivotButton="0" quotePrefix="0" xfId="0">
      <alignment horizontal="general" vertical="bottom"/>
    </xf>
    <xf numFmtId="0" fontId="12" fillId="0" borderId="0" applyAlignment="1" pivotButton="0" quotePrefix="0" xfId="0">
      <alignment horizontal="general" vertical="bottom"/>
    </xf>
    <xf numFmtId="0" fontId="13" fillId="0" borderId="0" pivotButton="0" quotePrefix="0" xfId="0"/>
    <xf numFmtId="0" fontId="14" fillId="0" borderId="0" applyAlignment="1" pivotButton="0" quotePrefix="0" xfId="0">
      <alignment vertical="top" wrapText="1"/>
    </xf>
    <xf numFmtId="0" fontId="15" fillId="10" borderId="0" pivotButton="0" quotePrefix="0" xfId="0"/>
    <xf numFmtId="0" fontId="16" fillId="11" borderId="0" pivotButton="0" quotePrefix="0" xfId="0"/>
    <xf numFmtId="0" fontId="17" fillId="0" borderId="0" pivotButton="0" quotePrefix="0" xfId="0"/>
    <xf numFmtId="0" fontId="17" fillId="0" borderId="0" applyAlignment="1" pivotButton="0" quotePrefix="0" xfId="0">
      <alignment vertical="top" wrapText="1"/>
    </xf>
    <xf numFmtId="0" fontId="15" fillId="12" borderId="0" pivotButton="0" quotePrefix="0" xfId="0"/>
    <xf numFmtId="0" fontId="18"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50" min="1" max="1"/>
    <col width="18" customWidth="1" style="50" min="2" max="2"/>
    <col width="48" customWidth="1" style="50" min="3" max="3"/>
  </cols>
  <sheetData>
    <row r="1" ht="17.25" customHeight="1" s="51">
      <c r="A1" s="52" t="inlineStr">
        <is>
          <t>PARÁMETROS Y SUPUESTOS DEL MODELO</t>
        </is>
      </c>
    </row>
    <row r="2" ht="15" customHeight="1" s="51">
      <c r="A2" s="53" t="inlineStr">
        <is>
          <t>Celdas en AZUL son editables. Ajusta aquí y todo el archivo recalcula.</t>
        </is>
      </c>
    </row>
    <row r="4" ht="15" customHeight="1" s="51">
      <c r="A4" s="54" t="inlineStr">
        <is>
          <t>TIPO DE CAMBIO</t>
        </is>
      </c>
      <c r="B4" s="55" t="n"/>
      <c r="C4" s="55" t="n"/>
    </row>
    <row r="5" ht="15" customHeight="1" s="51">
      <c r="A5" s="56" t="inlineStr">
        <is>
          <t>TRM (COP por 1 USD)</t>
        </is>
      </c>
      <c r="B5" s="57" t="n">
        <v>3300</v>
      </c>
      <c r="C5" s="58" t="inlineStr">
        <is>
          <t>Fuente: tasa de mercado referencial, jul-2026. Ajustar a TRM del día de facturación.</t>
        </is>
      </c>
    </row>
    <row r="6" ht="15" customHeight="1" s="51">
      <c r="A6" s="56" t="n"/>
      <c r="B6" s="58" t="n"/>
      <c r="C6" s="58" t="n"/>
    </row>
    <row r="7" ht="15" customHeight="1" s="51">
      <c r="A7" s="54" t="inlineStr">
        <is>
          <t>PROYECTO — ALCANCE</t>
        </is>
      </c>
      <c r="B7" s="55" t="n"/>
      <c r="C7" s="55" t="n"/>
    </row>
    <row r="8" ht="15" customHeight="1" s="51">
      <c r="A8" s="56" t="inlineStr">
        <is>
          <t>Número de referencias (SKUs)</t>
        </is>
      </c>
      <c r="B8" s="57" t="n">
        <v>55</v>
      </c>
      <c r="C8" s="58" t="n"/>
    </row>
    <row r="9" ht="15" customHeight="1" s="51">
      <c r="A9" s="56" t="inlineStr">
        <is>
          <t>Número de modelos IA a desarrollar</t>
        </is>
      </c>
      <c r="B9" s="57" t="n">
        <v>5</v>
      </c>
      <c r="C9" s="58" t="n"/>
    </row>
    <row r="10" ht="15" customHeight="1" s="51">
      <c r="A10" s="56" t="inlineStr">
        <is>
          <t>Referencias cubiertas por cada modelo</t>
        </is>
      </c>
      <c r="B10" s="58">
        <f>Parametros!$B$8/Parametros!$B$9</f>
        <v/>
      </c>
      <c r="C10" s="58" t="n"/>
    </row>
    <row r="11" ht="15" customHeight="1" s="51">
      <c r="A11" s="56" t="n"/>
      <c r="B11" s="58" t="n"/>
      <c r="C11" s="58" t="n"/>
    </row>
    <row r="12" ht="15" customHeight="1" s="51">
      <c r="A12" s="54" t="inlineStr">
        <is>
          <t>SUSCRIPCIONES MENSUALES DE HERRAMIENTAS</t>
        </is>
      </c>
      <c r="B12" s="55" t="n"/>
      <c r="C12" s="55" t="n"/>
    </row>
    <row r="13" ht="15" customHeight="1" s="51">
      <c r="A13" s="56" t="inlineStr">
        <is>
          <t>Claude (USD/mes)</t>
        </is>
      </c>
      <c r="B13" s="57" t="n">
        <v>20</v>
      </c>
      <c r="C13" s="58" t="n"/>
    </row>
    <row r="14" ht="15" customHeight="1" s="51">
      <c r="A14" s="56" t="inlineStr">
        <is>
          <t>ChatGPT (COP/mes)</t>
        </is>
      </c>
      <c r="B14" s="57" t="n">
        <v>20000</v>
      </c>
      <c r="C14" s="58" t="n"/>
    </row>
    <row r="15" ht="15" customHeight="1" s="51">
      <c r="A15" s="56" t="inlineStr">
        <is>
          <t>Figma Weave (USD/mes)</t>
        </is>
      </c>
      <c r="B15" s="57" t="n">
        <v>24</v>
      </c>
      <c r="C15" s="58" t="n"/>
    </row>
    <row r="16" ht="15" customHeight="1" s="51">
      <c r="A16" s="56" t="inlineStr">
        <is>
          <t>% del mes asignado a este proyecto</t>
        </is>
      </c>
      <c r="B16" s="59" t="n">
        <v>1</v>
      </c>
      <c r="C16" s="58" t="inlineStr">
        <is>
          <t>Si el mes se reparte entre varios clientes, bajar este %.</t>
        </is>
      </c>
    </row>
    <row r="17" ht="15" customHeight="1" s="51">
      <c r="A17" s="56" t="n"/>
      <c r="B17" s="58" t="n"/>
      <c r="C17" s="58" t="n"/>
    </row>
    <row r="18" ht="15" customHeight="1" s="51">
      <c r="A18" s="54" t="inlineStr">
        <is>
          <t>MANO DE OBRA / DIRECCIÓN CREATIVA</t>
        </is>
      </c>
      <c r="B18" s="55" t="n"/>
      <c r="C18" s="55" t="n"/>
    </row>
    <row r="19" ht="15" customHeight="1" s="51">
      <c r="A19" s="56" t="inlineStr">
        <is>
          <t>Horas estimadas del proyecto</t>
        </is>
      </c>
      <c r="B19" s="57" t="n">
        <v>55</v>
      </c>
      <c r="C19" s="58" t="inlineStr">
        <is>
          <t>Ver desglose sugerido en hoja 'Horas estimadas'.</t>
        </is>
      </c>
    </row>
    <row r="20" ht="15" customHeight="1" s="51">
      <c r="A20" s="56" t="inlineStr">
        <is>
          <t>Tarifa por hora (COP)</t>
        </is>
      </c>
      <c r="B20" s="57" t="n">
        <v>25000</v>
      </c>
      <c r="C20" s="58" t="inlineStr">
        <is>
          <t>Ajusta a tu tarifa real de mercado / experiencia.</t>
        </is>
      </c>
    </row>
    <row r="21" ht="15" customHeight="1" s="51">
      <c r="A21" s="56" t="n"/>
      <c r="B21" s="58" t="n"/>
      <c r="C21" s="58" t="n"/>
    </row>
    <row r="22" ht="15" customHeight="1" s="51">
      <c r="A22" s="54" t="inlineStr">
        <is>
          <t>CONTINGENCIA POR REGENERACIÓN (fallos / inconsistencias)</t>
        </is>
      </c>
      <c r="B22" s="55" t="n"/>
      <c r="C22" s="55" t="n"/>
    </row>
    <row r="23" ht="15" customHeight="1" s="51">
      <c r="A23" s="56" t="inlineStr">
        <is>
          <t>% de imágenes a regenerar por referencia</t>
        </is>
      </c>
      <c r="B23" s="59" t="n">
        <v>0.2</v>
      </c>
      <c r="C23" s="58" t="inlineStr">
        <is>
          <t>Aplica sobre fichas, imagen base, sets de fotos, upscale y nodos LLM.</t>
        </is>
      </c>
    </row>
    <row r="24" ht="15" customHeight="1" s="51">
      <c r="A24" s="56" t="inlineStr">
        <is>
          <t>% de clips de video a regenerar por referencia</t>
        </is>
      </c>
      <c r="B24" s="59" t="n">
        <v>0.25</v>
      </c>
      <c r="C24" s="58" t="inlineStr">
        <is>
          <t>Los clips de video suelen tener mayor tasa de fallos/inconsistencias que la imagen fija.</t>
        </is>
      </c>
    </row>
    <row r="25" ht="15" customHeight="1" s="51">
      <c r="A25" s="56" t="n"/>
      <c r="B25" s="58" t="n"/>
      <c r="C25" s="58" t="n"/>
    </row>
    <row r="26" ht="15" customHeight="1" s="51">
      <c r="A26" s="54" t="inlineStr">
        <is>
          <t>RENTABILIDAD</t>
        </is>
      </c>
      <c r="B26" s="55" t="n"/>
      <c r="C26" s="55" t="n"/>
    </row>
    <row r="27" ht="15" customHeight="1" s="51">
      <c r="A27" s="56" t="inlineStr">
        <is>
          <t>Margen de rentabilidad objetivo</t>
        </is>
      </c>
      <c r="B27" s="59" t="n">
        <v>0.6</v>
      </c>
      <c r="C27" s="58" t="inlineStr">
        <is>
          <t>Rango estándar de agencia: 50%-70% sobre costo total.</t>
        </is>
      </c>
    </row>
    <row r="28" ht="15" customHeight="1" s="51">
      <c r="A28" s="56" t="inlineStr">
        <is>
          <t>¿Cotización sujeta a IVA (19%)?</t>
        </is>
      </c>
      <c r="B28" s="59" t="n">
        <v>0</v>
      </c>
      <c r="C28" s="58" t="inlineStr">
        <is>
          <t>Poner 19% (0.19) si eres responsable de IVA. Verificar con tu contador/régimen tributario.</t>
        </is>
      </c>
    </row>
  </sheetData>
  <mergeCells count="2">
    <mergeCell ref="A1:C1"/>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50" min="1" max="1"/>
    <col width="26" customWidth="1" style="50" min="2" max="2"/>
    <col width="12" customWidth="1" style="50" min="3" max="3"/>
    <col width="14" customWidth="1" style="50" min="4" max="5"/>
    <col width="16" customWidth="1" style="50" min="6" max="6"/>
  </cols>
  <sheetData>
    <row r="1" ht="17.25" customHeight="1" s="51">
      <c r="A1" s="52" t="inlineStr">
        <is>
          <t>COSTEO DE GENERACIÓN IA — DATOS REALES DE CONSUMO</t>
        </is>
      </c>
    </row>
    <row r="2" ht="15" customHeight="1" s="51">
      <c r="A2" s="53" t="inlineStr">
        <is>
          <t>Valores base en USD tomados del consumo reportado por el usuario. Incluye contingencia por regeneración.</t>
        </is>
      </c>
    </row>
    <row r="4" ht="15" customHeight="1" s="51">
      <c r="A4" s="60" t="inlineStr">
        <is>
          <t>A) COSTO POR MODELO IA — se genera 1 sola vez, cubre 10 referencias</t>
        </is>
      </c>
      <c r="B4" s="61" t="n"/>
      <c r="C4" s="61" t="n"/>
      <c r="D4" s="61" t="n"/>
      <c r="E4" s="61" t="n"/>
      <c r="F4" s="61" t="n"/>
    </row>
    <row r="5" ht="15" customHeight="1" s="51">
      <c r="A5" s="62" t="inlineStr">
        <is>
          <t>Concepto</t>
        </is>
      </c>
      <c r="B5" s="62" t="inlineStr">
        <is>
          <t>Herramienta / Modelo IA</t>
        </is>
      </c>
      <c r="C5" s="62" t="inlineStr">
        <is>
          <t>Créditos</t>
        </is>
      </c>
      <c r="D5" s="62" t="inlineStr">
        <is>
          <t>Valor (USD)</t>
        </is>
      </c>
      <c r="E5" s="62" t="inlineStr">
        <is>
          <t>—</t>
        </is>
      </c>
      <c r="F5" s="62" t="inlineStr">
        <is>
          <t>Valor (COP)</t>
        </is>
      </c>
    </row>
    <row r="6" ht="15" customHeight="1" s="51">
      <c r="A6" s="50" t="inlineStr">
        <is>
          <t>Identidad de modelo (variantes)</t>
        </is>
      </c>
      <c r="B6" s="50" t="inlineStr">
        <is>
          <t>Figma Weave / Nanobanana Pro 2K</t>
        </is>
      </c>
      <c r="C6" s="63" t="n">
        <v>66</v>
      </c>
      <c r="D6" s="64" t="n">
        <v>0.66</v>
      </c>
      <c r="F6" s="65">
        <f>D6*Parametros!$B$5</f>
        <v/>
      </c>
    </row>
    <row r="8" ht="15" customHeight="1" s="51">
      <c r="A8" s="60" t="inlineStr">
        <is>
          <t>B) COSTO POR REFERENCIA — se repite en cada una de las 55 referencias</t>
        </is>
      </c>
      <c r="B8" s="61" t="n"/>
      <c r="C8" s="61" t="n"/>
      <c r="D8" s="61" t="n"/>
      <c r="E8" s="61" t="n"/>
      <c r="F8" s="61" t="n"/>
    </row>
    <row r="9" ht="15" customHeight="1" s="51">
      <c r="A9" s="66" t="inlineStr">
        <is>
          <t>B.1) Fichas técnicas (identidad + fit — fit es uso interno, no se entrega al cliente)</t>
        </is>
      </c>
    </row>
    <row r="10" ht="15" customHeight="1" s="51">
      <c r="A10" s="62" t="inlineStr">
        <is>
          <t>Concepto</t>
        </is>
      </c>
      <c r="B10" s="62" t="inlineStr">
        <is>
          <t>Herramienta / Modelo IA</t>
        </is>
      </c>
      <c r="C10" s="62" t="inlineStr">
        <is>
          <t>Créditos</t>
        </is>
      </c>
      <c r="D10" s="62" t="inlineStr">
        <is>
          <t>Valor (USD)</t>
        </is>
      </c>
      <c r="E10" s="62" t="inlineStr">
        <is>
          <t>—</t>
        </is>
      </c>
      <c r="F10" s="62" t="inlineStr">
        <is>
          <t>Valor (COP)</t>
        </is>
      </c>
    </row>
    <row r="11" ht="15" customHeight="1" s="51">
      <c r="A11" s="50" t="inlineStr">
        <is>
          <t>Fichas de identidad de prendas (6 prendas) — SE ENTREGA</t>
        </is>
      </c>
      <c r="B11" s="50" t="inlineStr">
        <is>
          <t>KIE / Nanobanana Pro 4K</t>
        </is>
      </c>
      <c r="C11" s="63" t="n">
        <v>144</v>
      </c>
      <c r="D11" s="64" t="n">
        <v>0.72</v>
      </c>
      <c r="F11" s="65">
        <f>D11*Parametros!$B$5</f>
        <v/>
      </c>
    </row>
    <row r="12" ht="15" customHeight="1" s="51">
      <c r="A12" s="50" t="inlineStr">
        <is>
          <t>Fichas de fit de prendas — uso interno, NO se entrega</t>
        </is>
      </c>
      <c r="B12" s="50" t="inlineStr">
        <is>
          <t>Figma Weave / Nanobanana Pro 2K</t>
        </is>
      </c>
      <c r="C12" s="63" t="n">
        <v>44</v>
      </c>
      <c r="D12" s="64" t="n">
        <v>0.44</v>
      </c>
      <c r="F12" s="65">
        <f>D12*Parametros!$B$5</f>
        <v/>
      </c>
    </row>
    <row r="13" ht="15" customHeight="1" s="51">
      <c r="A13" s="66" t="inlineStr">
        <is>
          <t>B.2) Fotografías de campaña (8 fotos finales por referencia, escalado parcial)</t>
        </is>
      </c>
    </row>
    <row r="14" ht="15" customHeight="1" s="51">
      <c r="A14" s="62" t="inlineStr">
        <is>
          <t>Concepto</t>
        </is>
      </c>
      <c r="B14" s="62" t="inlineStr">
        <is>
          <t>Herramienta / Modelo IA</t>
        </is>
      </c>
      <c r="C14" s="62" t="inlineStr">
        <is>
          <t>Créditos</t>
        </is>
      </c>
      <c r="D14" s="62" t="inlineStr">
        <is>
          <t>Valor (USD)</t>
        </is>
      </c>
      <c r="E14" s="62" t="inlineStr">
        <is>
          <t>—</t>
        </is>
      </c>
      <c r="F14" s="62" t="inlineStr">
        <is>
          <t>Valor (COP)</t>
        </is>
      </c>
    </row>
    <row r="15" ht="15" customHeight="1" s="51">
      <c r="A15" s="50" t="inlineStr">
        <is>
          <t>Imagen base (modelo + outfit)</t>
        </is>
      </c>
      <c r="B15" s="50" t="inlineStr">
        <is>
          <t>Figma Weave / Nanobanana Pro 4K</t>
        </is>
      </c>
      <c r="C15" s="63" t="n">
        <v>23</v>
      </c>
      <c r="D15" s="64" t="n">
        <v>0.23</v>
      </c>
      <c r="F15" s="65">
        <f>D15*Parametros!$B$5</f>
        <v/>
      </c>
    </row>
    <row r="16" ht="15" customHeight="1" s="51">
      <c r="A16" s="50" t="inlineStr">
        <is>
          <t>Set de 4 fotos adicionales (4K)</t>
        </is>
      </c>
      <c r="B16" s="50" t="inlineStr">
        <is>
          <t>Figma Weave / Nanobanana Pro 4K</t>
        </is>
      </c>
      <c r="C16" s="63" t="n">
        <v>92</v>
      </c>
      <c r="D16" s="64" t="n">
        <v>0.92</v>
      </c>
      <c r="F16" s="65">
        <f>D16*Parametros!$B$5</f>
        <v/>
      </c>
    </row>
    <row r="17" ht="15" customHeight="1" s="51">
      <c r="A17" s="50" t="inlineStr">
        <is>
          <t>Set de 4 fotos adicionales (2K)</t>
        </is>
      </c>
      <c r="B17" s="50" t="inlineStr">
        <is>
          <t>Figma Weave / Nanobanana Pro 2K</t>
        </is>
      </c>
      <c r="C17" s="63" t="n">
        <v>44</v>
      </c>
      <c r="D17" s="64" t="n">
        <v>0.44</v>
      </c>
      <c r="F17" s="65">
        <f>D17*Parametros!$B$5</f>
        <v/>
      </c>
    </row>
    <row r="18" ht="15" customHeight="1" s="51">
      <c r="A18" s="50" t="inlineStr">
        <is>
          <t>Escalado Topaz Upscaler (4 de 8 fotos)</t>
        </is>
      </c>
      <c r="B18" s="50" t="inlineStr">
        <is>
          <t>Figma Weave</t>
        </is>
      </c>
      <c r="C18" s="63" t="n">
        <v>76</v>
      </c>
      <c r="D18" s="64" t="n">
        <v>0.76</v>
      </c>
      <c r="F18" s="65">
        <f>D18*Parametros!$B$5</f>
        <v/>
      </c>
    </row>
    <row r="19" ht="15" customHeight="1" s="51">
      <c r="A19" s="50" t="inlineStr">
        <is>
          <t>Nodos LLM auxiliares para prompts (7)</t>
        </is>
      </c>
      <c r="B19" s="50" t="inlineStr">
        <is>
          <t>Figma Weave — Any LLM</t>
        </is>
      </c>
      <c r="C19" s="63" t="n">
        <v>7</v>
      </c>
      <c r="D19" s="64" t="n">
        <v>0.07000000000000001</v>
      </c>
      <c r="F19" s="65">
        <f>D19*Parametros!$B$5</f>
        <v/>
      </c>
    </row>
    <row r="20" ht="15" customHeight="1" s="51">
      <c r="A20" s="67" t="inlineStr">
        <is>
          <t>Subtotal base fichas + fotografía por referencia</t>
        </is>
      </c>
      <c r="B20" s="68" t="n"/>
      <c r="C20" s="67">
        <f>SUM(C11:C12)+SUM(C15:C19)</f>
        <v/>
      </c>
      <c r="D20" s="69">
        <f>SUM(D11:D12)+SUM(D15:D19)</f>
        <v/>
      </c>
      <c r="E20" s="68" t="n"/>
      <c r="F20" s="70">
        <f>D20*Parametros!$B$5</f>
        <v/>
      </c>
    </row>
    <row r="21" ht="15" customHeight="1" s="51">
      <c r="A21" s="71" t="inlineStr">
        <is>
          <t>Contingencia por regeneración de imágenes/fichas (% Parámetros)</t>
        </is>
      </c>
      <c r="B21" s="68" t="n"/>
      <c r="C21" s="68" t="n"/>
      <c r="D21" s="72">
        <f>'Costeo Generacion IA'!$D$20*Parametros!$B$23</f>
        <v/>
      </c>
      <c r="E21" s="68" t="n"/>
      <c r="F21" s="73">
        <f>D21*Parametros!$B$5</f>
        <v/>
      </c>
    </row>
    <row r="22" ht="15" customHeight="1" s="51">
      <c r="A22" s="74" t="inlineStr">
        <is>
          <t>Subtotal fichas + fotografía INCL. contingencia</t>
        </is>
      </c>
      <c r="B22" s="75" t="n"/>
      <c r="C22" s="75" t="n"/>
      <c r="D22" s="76">
        <f>'Costeo Generacion IA'!$D$20+'Costeo Generacion IA'!$D$21</f>
        <v/>
      </c>
      <c r="E22" s="75" t="n"/>
      <c r="F22" s="77">
        <f>D22*Parametros!$B$5</f>
        <v/>
      </c>
    </row>
    <row r="24" ht="15" customHeight="1" s="51">
      <c r="A24" s="66" t="inlineStr">
        <is>
          <t>B.3) Video de campaña</t>
        </is>
      </c>
    </row>
    <row r="25" ht="15" customHeight="1" s="51">
      <c r="A25" s="62" t="inlineStr">
        <is>
          <t>Concepto</t>
        </is>
      </c>
      <c r="B25" s="62" t="inlineStr">
        <is>
          <t>Herramienta / Modelo IA</t>
        </is>
      </c>
      <c r="C25" s="62" t="inlineStr">
        <is>
          <t>Créditos</t>
        </is>
      </c>
      <c r="D25" s="62" t="inlineStr">
        <is>
          <t>Valor (USD)</t>
        </is>
      </c>
      <c r="E25" s="62" t="inlineStr">
        <is>
          <t>—</t>
        </is>
      </c>
      <c r="F25" s="62" t="inlineStr">
        <is>
          <t>Valor (COP)</t>
        </is>
      </c>
    </row>
    <row r="26" ht="15" customHeight="1" s="51">
      <c r="A26" s="50" t="inlineStr">
        <is>
          <t>Video de campaña (4 clips 1080p x 4s, Omniflash)</t>
        </is>
      </c>
      <c r="B26" s="50" t="inlineStr">
        <is>
          <t>APIMART</t>
        </is>
      </c>
      <c r="C26" s="63" t="n">
        <v>10</v>
      </c>
      <c r="D26" s="64" t="n">
        <v>1</v>
      </c>
      <c r="F26" s="65">
        <f>D26*Parametros!$B$5</f>
        <v/>
      </c>
    </row>
    <row r="27" ht="15" customHeight="1" s="51">
      <c r="A27" s="78" t="inlineStr">
        <is>
          <t>Contingencia por regeneración de clips de video (% Parámetros)</t>
        </is>
      </c>
      <c r="D27" s="79">
        <f>'Costeo Generacion IA'!$D$26*Parametros!$B$24</f>
        <v/>
      </c>
      <c r="F27" s="65">
        <f>D27*Parametros!$B$5</f>
        <v/>
      </c>
    </row>
    <row r="28" ht="15" customHeight="1" s="51">
      <c r="A28" s="74" t="inlineStr">
        <is>
          <t>Video INCL. contingencia</t>
        </is>
      </c>
      <c r="B28" s="75" t="n"/>
      <c r="C28" s="75" t="n"/>
      <c r="D28" s="76">
        <f>'Costeo Generacion IA'!$D$26+'Costeo Generacion IA'!$D$27</f>
        <v/>
      </c>
      <c r="E28" s="75" t="n"/>
      <c r="F28" s="77">
        <f>D28*Parametros!$B$5</f>
        <v/>
      </c>
    </row>
    <row r="30" ht="15" customHeight="1" s="51">
      <c r="A30" s="74" t="inlineStr">
        <is>
          <t>TOTAL GENERACIÓN POR REFERENCIA (fichas + 8 fotos + video, incl. contingencia)</t>
        </is>
      </c>
      <c r="B30" s="75" t="n"/>
      <c r="C30" s="75" t="n"/>
      <c r="D30" s="76">
        <f>'Costeo Generacion IA'!$D$22+'Costeo Generacion IA'!$D$28</f>
        <v/>
      </c>
      <c r="E30" s="75" t="n"/>
      <c r="F30" s="77">
        <f>D30*Parametros!$B$5</f>
        <v/>
      </c>
    </row>
    <row r="33" ht="15" customHeight="1" s="51">
      <c r="A33" s="60" t="inlineStr">
        <is>
          <t>C) PROYECCIÓN — COSTO TOTAL DE GENERACIÓN IA PARA LAS 55 REFERENCIAS</t>
        </is>
      </c>
      <c r="B33" s="61" t="n"/>
      <c r="C33" s="61" t="n"/>
      <c r="D33" s="61" t="n"/>
      <c r="E33" s="61" t="n"/>
      <c r="F33" s="61" t="n"/>
    </row>
    <row r="34" ht="15" customHeight="1" s="51">
      <c r="A34" s="62" t="inlineStr">
        <is>
          <t>Concepto</t>
        </is>
      </c>
      <c r="B34" s="62" t="inlineStr">
        <is>
          <t>Cantidad</t>
        </is>
      </c>
      <c r="C34" s="62" t="n"/>
      <c r="D34" s="62" t="inlineStr">
        <is>
          <t>Valor (USD)</t>
        </is>
      </c>
      <c r="E34" s="62" t="inlineStr">
        <is>
          <t>—</t>
        </is>
      </c>
      <c r="F34" s="62" t="inlineStr">
        <is>
          <t>Valor (COP)</t>
        </is>
      </c>
    </row>
    <row r="35" ht="15" customHeight="1" s="51">
      <c r="A35" s="50" t="inlineStr">
        <is>
          <t>Modelos IA (identidad, 1 vez c/u)</t>
        </is>
      </c>
      <c r="B35" s="50">
        <f>Parametros!$B$9</f>
        <v/>
      </c>
      <c r="D35" s="79">
        <f>'Costeo Generacion IA'!$D$6*Parametros!$B$9</f>
        <v/>
      </c>
      <c r="F35" s="65">
        <f>D35*Parametros!$B$5</f>
        <v/>
      </c>
    </row>
    <row r="36" ht="15" customHeight="1" s="51">
      <c r="A36" s="50" t="inlineStr">
        <is>
          <t>Fichas técnicas + fotografía (incl. contingencia) x referencia</t>
        </is>
      </c>
      <c r="B36" s="50">
        <f>Parametros!$B$8</f>
        <v/>
      </c>
      <c r="D36" s="79">
        <f>'Costeo Generacion IA'!$D$22*Parametros!$B$8</f>
        <v/>
      </c>
      <c r="F36" s="65">
        <f>D36*Parametros!$B$5</f>
        <v/>
      </c>
    </row>
    <row r="37" ht="15" customHeight="1" s="51">
      <c r="A37" s="50" t="inlineStr">
        <is>
          <t>Videos de campaña (incl. contingencia) x referencia</t>
        </is>
      </c>
      <c r="B37" s="50">
        <f>Parametros!$B$8</f>
        <v/>
      </c>
      <c r="D37" s="79">
        <f>'Costeo Generacion IA'!$D$28*Parametros!$B$8</f>
        <v/>
      </c>
      <c r="F37" s="65">
        <f>D37*Parametros!$B$5</f>
        <v/>
      </c>
    </row>
    <row r="38" ht="15" customHeight="1" s="51">
      <c r="A38" s="74" t="inlineStr">
        <is>
          <t>TOTAL COSTO DE GENERACIÓN IA (COGS)</t>
        </is>
      </c>
      <c r="B38" s="75" t="n"/>
      <c r="C38" s="75" t="n"/>
      <c r="D38" s="76">
        <f>D35+D36+D37</f>
        <v/>
      </c>
      <c r="E38" s="75" t="n"/>
      <c r="F38" s="77">
        <f>D38*Parametros!$B$5</f>
        <v/>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0" customWidth="1" style="50" min="1" max="1"/>
    <col width="14" customWidth="1" style="50" min="2" max="2"/>
    <col width="45" customWidth="1" style="50" min="3" max="3"/>
  </cols>
  <sheetData>
    <row r="1" ht="17.25" customHeight="1" s="51">
      <c r="A1" s="52" t="inlineStr">
        <is>
          <t>DESGLOSE SUGERIDO DE HORAS DE DIRECCIÓN CREATIVA / OPERACIÓN</t>
        </is>
      </c>
    </row>
    <row r="2" ht="15" customHeight="1" s="51">
      <c r="A2" s="53" t="inlineStr">
        <is>
          <t>Referencial: copia el total en Parámetros &gt; Horas estimadas si lo validas.</t>
        </is>
      </c>
    </row>
    <row r="4" ht="15" customHeight="1" s="51">
      <c r="A4" s="62" t="inlineStr">
        <is>
          <t>Actividad</t>
        </is>
      </c>
      <c r="B4" s="62" t="inlineStr">
        <is>
          <t>Horas</t>
        </is>
      </c>
      <c r="C4" s="62" t="inlineStr">
        <is>
          <t>Nota</t>
        </is>
      </c>
    </row>
    <row r="5" ht="15" customHeight="1" s="51">
      <c r="A5" s="58" t="inlineStr">
        <is>
          <t>Setup y ajuste de identidad de los 5 modelos IA</t>
        </is>
      </c>
      <c r="B5" s="80" t="n">
        <v>5</v>
      </c>
      <c r="C5" s="58" t="inlineStr">
        <is>
          <t>1h por modelo: selección de variante, validación de consistencia</t>
        </is>
      </c>
    </row>
    <row r="6" ht="15" customHeight="1" s="51">
      <c r="A6" s="58" t="inlineStr">
        <is>
          <t>Prompt engineering y curaduría por referencia (55 x 0.5h)</t>
        </is>
      </c>
      <c r="B6" s="80" t="n">
        <v>27.5</v>
      </c>
      <c r="C6" s="58" t="inlineStr">
        <is>
          <t>Ajuste de prompts de fichas, fit y fotos; selección de mejores tomas</t>
        </is>
      </c>
    </row>
    <row r="7" ht="15" customHeight="1" s="51">
      <c r="A7" s="58" t="inlineStr">
        <is>
          <t>Control de calidad y consistencia de marca (55 x 0.15h)</t>
        </is>
      </c>
      <c r="B7" s="80" t="n">
        <v>8.25</v>
      </c>
      <c r="C7" s="58" t="inlineStr">
        <is>
          <t>Revisión de fidelidad de prenda, anatomía, coherencia visual</t>
        </is>
      </c>
    </row>
    <row r="8" ht="15" customHeight="1" s="51">
      <c r="A8" s="58" t="inlineStr">
        <is>
          <t>Rondas de ajustes / feedback del cliente</t>
        </is>
      </c>
      <c r="B8" s="80" t="n">
        <v>8</v>
      </c>
      <c r="C8" s="58" t="inlineStr">
        <is>
          <t>Estimado 1 ronda de ajustes global + puntuales</t>
        </is>
      </c>
    </row>
    <row r="9" ht="15" customHeight="1" s="51">
      <c r="A9" s="58" t="inlineStr">
        <is>
          <t>Gestión de proyecto, organización de entrega y empaquetado</t>
        </is>
      </c>
      <c r="B9" s="80" t="n">
        <v>6</v>
      </c>
      <c r="C9" s="58" t="inlineStr">
        <is>
          <t>Nomenclatura, carpetas, envío final</t>
        </is>
      </c>
    </row>
    <row r="10" ht="15" customHeight="1" s="51">
      <c r="A10" s="81" t="inlineStr">
        <is>
          <t>TOTAL HORAS SUGERIDAS</t>
        </is>
      </c>
      <c r="B10" s="81">
        <f>SUM(B5:B9)</f>
        <v/>
      </c>
      <c r="C10" s="82" t="n"/>
    </row>
  </sheetData>
  <mergeCells count="2">
    <mergeCell ref="A1:C1"/>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50" min="1" max="1"/>
    <col width="20" customWidth="1" style="50" min="2" max="4"/>
  </cols>
  <sheetData>
    <row r="1" ht="17.25" customHeight="1" s="51">
      <c r="A1" s="52" t="inlineStr">
        <is>
          <t>RESUMEN DE COSTOS Y PROPUESTA DE COTIZACIÓN</t>
        </is>
      </c>
    </row>
    <row r="2" ht="15" customHeight="1" s="51">
      <c r="A2" s="53" t="inlineStr">
        <is>
          <t>55 referencias · 5 modelos IA · fichas técnicas + 8 fotos de campaña + 1 video por referencia, incl. contingencia por regeneración</t>
        </is>
      </c>
    </row>
    <row r="4" ht="15" customHeight="1" s="51">
      <c r="A4" s="60" t="inlineStr">
        <is>
          <t>1) COSTOS DIRECTOS Y DE OPERACIÓN</t>
        </is>
      </c>
      <c r="B4" s="61" t="n"/>
      <c r="C4" s="61" t="n"/>
      <c r="D4" s="61" t="n"/>
    </row>
    <row r="5" ht="15" customHeight="1" s="51">
      <c r="A5" s="62" t="inlineStr">
        <is>
          <t>Concepto</t>
        </is>
      </c>
      <c r="B5" s="62" t="inlineStr">
        <is>
          <t>Valor (USD)</t>
        </is>
      </c>
      <c r="C5" s="62" t="inlineStr">
        <is>
          <t>Valor (COP)</t>
        </is>
      </c>
      <c r="D5" s="62" t="inlineStr">
        <is>
          <t>Fuente / Nota</t>
        </is>
      </c>
    </row>
    <row r="6" ht="15" customHeight="1" s="51">
      <c r="A6" s="50" t="inlineStr">
        <is>
          <t>Costo de generación IA (modelos + fichas + fotos + video, incl. contingencia)</t>
        </is>
      </c>
      <c r="B6" s="79">
        <f>'Costeo Generacion IA'!$D$38</f>
        <v/>
      </c>
      <c r="C6" s="65">
        <f>'Costeo Generacion IA'!$F$38</f>
        <v/>
      </c>
      <c r="D6" s="50" t="inlineStr">
        <is>
          <t>Ver hoja 'Costeo Generacion IA'</t>
        </is>
      </c>
    </row>
    <row r="7" ht="15" customHeight="1" s="51">
      <c r="A7" s="50" t="inlineStr">
        <is>
          <t>Suscripciones de herramientas (parte asignada al proyecto)</t>
        </is>
      </c>
      <c r="B7" s="79">
        <f>(Parametros!$B$13+Parametros!$B$15+Parametros!$B$14/Parametros!$B$5)*Parametros!$B$16</f>
        <v/>
      </c>
      <c r="C7" s="65">
        <f>(Parametros!$B$13*Parametros!$B$5+Parametros!$B$15*Parametros!$B$5+Parametros!$B$14)*Parametros!$B$16</f>
        <v/>
      </c>
      <c r="D7" s="50" t="inlineStr">
        <is>
          <t>Claude + ChatGPT + Figma Weave, según % asignado en Parámetros</t>
        </is>
      </c>
    </row>
    <row r="8" ht="15" customHeight="1" s="51">
      <c r="A8" s="50" t="inlineStr">
        <is>
          <t>Mano de obra / dirección creativa</t>
        </is>
      </c>
      <c r="B8" s="79">
        <f>(Parametros!$B$19*Parametros!$B$20)/Parametros!$B$5</f>
        <v/>
      </c>
      <c r="C8" s="65">
        <f>Parametros!$B$19*Parametros!$B$20</f>
        <v/>
      </c>
      <c r="D8" s="50" t="inlineStr">
        <is>
          <t>Horas x tarifa/hora definidas en Parámetros</t>
        </is>
      </c>
    </row>
    <row r="9" ht="15" customHeight="1" s="51">
      <c r="A9" s="74" t="inlineStr">
        <is>
          <t>COSTO TOTAL DEL PROYECTO</t>
        </is>
      </c>
      <c r="B9" s="76">
        <f>B6+B7+B8</f>
        <v/>
      </c>
      <c r="C9" s="77">
        <f>C6+C7+C8</f>
        <v/>
      </c>
      <c r="D9" s="75" t="n"/>
    </row>
    <row r="11" ht="15" customHeight="1" s="51">
      <c r="A11" s="60" t="inlineStr">
        <is>
          <t>2) PRECIO DE VENTA CON MARGEN OBJETIVO (Parámetros)</t>
        </is>
      </c>
      <c r="B11" s="61" t="n"/>
      <c r="C11" s="61" t="n"/>
      <c r="D11" s="61" t="n"/>
    </row>
    <row r="12" ht="15" customHeight="1" s="51">
      <c r="A12" s="62" t="inlineStr">
        <is>
          <t>Concepto</t>
        </is>
      </c>
      <c r="B12" s="62" t="inlineStr">
        <is>
          <t>Valor (USD)</t>
        </is>
      </c>
      <c r="C12" s="62" t="inlineStr">
        <is>
          <t>Valor (COP)</t>
        </is>
      </c>
      <c r="D12" s="62" t="inlineStr">
        <is>
          <t>Nota</t>
        </is>
      </c>
    </row>
    <row r="13" ht="15" customHeight="1" s="51">
      <c r="A13" s="50" t="inlineStr">
        <is>
          <t>Precio de venta (costo total x (1 + margen))</t>
        </is>
      </c>
      <c r="B13" s="79">
        <f>B9*(1+Parametros!$B$27)</f>
        <v/>
      </c>
      <c r="C13" s="65">
        <f>C9*(1+Parametros!$B$27)</f>
        <v/>
      </c>
    </row>
    <row r="14" ht="15" customHeight="1" s="51">
      <c r="A14" s="50" t="inlineStr">
        <is>
          <t>IVA (si aplica)</t>
        </is>
      </c>
      <c r="B14" s="79">
        <f>B13*Parametros!$B$28</f>
        <v/>
      </c>
      <c r="C14" s="65">
        <f>C13*Parametros!$B$28</f>
        <v/>
      </c>
    </row>
    <row r="15" ht="15" customHeight="1" s="51">
      <c r="A15" s="74" t="inlineStr">
        <is>
          <t>PRECIO TOTAL AL CLIENTE</t>
        </is>
      </c>
      <c r="B15" s="76">
        <f>B13+B14</f>
        <v/>
      </c>
      <c r="C15" s="77">
        <f>C13+C14</f>
        <v/>
      </c>
      <c r="D15" s="75" t="n"/>
    </row>
    <row r="16" ht="15" customHeight="1" s="51">
      <c r="A16" s="83" t="inlineStr">
        <is>
          <t>Precio por referencia (promedio)</t>
        </is>
      </c>
      <c r="B16" s="84" t="n"/>
      <c r="C16" s="85">
        <f>C15/Parametros!$B$8</f>
        <v/>
      </c>
      <c r="D16" s="84" t="n"/>
    </row>
    <row r="17" ht="15" customHeight="1" s="51">
      <c r="A17" s="50" t="inlineStr">
        <is>
          <t>Utilidad neta estimada del proyecto</t>
        </is>
      </c>
      <c r="B17" s="79">
        <f>B13-B9</f>
        <v/>
      </c>
      <c r="C17" s="65">
        <f>C13-C9</f>
        <v/>
      </c>
    </row>
    <row r="19" ht="15" customHeight="1" s="51">
      <c r="A19" s="60" t="inlineStr">
        <is>
          <t>3) ESCENARIOS DE MARGEN (referencia rápida)</t>
        </is>
      </c>
      <c r="B19" s="61" t="n"/>
      <c r="C19" s="61" t="n"/>
      <c r="D19" s="61" t="n"/>
    </row>
    <row r="20" ht="26.25" customHeight="1" s="51">
      <c r="A20" s="62" t="inlineStr">
        <is>
          <t>Margen</t>
        </is>
      </c>
      <c r="B20" s="62" t="inlineStr">
        <is>
          <t>Precio total (COP)</t>
        </is>
      </c>
      <c r="C20" s="62" t="inlineStr">
        <is>
          <t>Precio por referencia (COP)</t>
        </is>
      </c>
      <c r="D20" s="62" t="inlineStr">
        <is>
          <t>Nota</t>
        </is>
      </c>
    </row>
    <row r="21" ht="15" customHeight="1" s="51">
      <c r="A21" s="86" t="n">
        <v>0.5</v>
      </c>
      <c r="B21" s="65">
        <f>$C$9*(1+A21)*(1+Parametros!$B$28)</f>
        <v/>
      </c>
      <c r="C21" s="65">
        <f>B21/Parametros!$B$8</f>
        <v/>
      </c>
      <c r="D21" s="50" t="inlineStr">
        <is>
          <t>Competitivo</t>
        </is>
      </c>
    </row>
    <row r="22" ht="15" customHeight="1" s="51">
      <c r="A22" s="87" t="n">
        <v>0.6</v>
      </c>
      <c r="B22" s="88">
        <f>$C$9*(1+A22)*(1+Parametros!$B$28)</f>
        <v/>
      </c>
      <c r="C22" s="88">
        <f>B22/Parametros!$B$8</f>
        <v/>
      </c>
      <c r="D22" s="84" t="inlineStr">
        <is>
          <t>Estándar de agencia (recomendado / actual)</t>
        </is>
      </c>
    </row>
    <row r="23" ht="15" customHeight="1" s="51">
      <c r="A23" s="86" t="n">
        <v>0.7</v>
      </c>
      <c r="B23" s="65">
        <f>$C$9*(1+A23)*(1+Parametros!$B$28)</f>
        <v/>
      </c>
      <c r="C23" s="65">
        <f>B23/Parametros!$B$8</f>
        <v/>
      </c>
      <c r="D23" s="50" t="inlineStr">
        <is>
          <t>Premium / alto valor percibido</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50" min="1" max="1"/>
    <col width="20" customWidth="1" style="50" min="2" max="3"/>
    <col width="22" customWidth="1" style="50" min="4" max="4"/>
  </cols>
  <sheetData>
    <row r="1" ht="17.25" customHeight="1" s="51">
      <c r="A1" s="52" t="inlineStr">
        <is>
          <t>APARTADO: ESCENARIO MIXTO — SOLO LA MITAD DE REFERENCIAS CON VIDEO</t>
        </is>
      </c>
    </row>
    <row r="2" ht="15" customHeight="1" s="51">
      <c r="A2" s="53" t="inlineStr">
        <is>
          <t>Tipo A: 8 fotos + video · Tipo B: 5 fotos, sin video. No reemplaza el escenario base; es un apartado alternativo.</t>
        </is>
      </c>
    </row>
    <row r="4" ht="15" customHeight="1" s="51">
      <c r="A4" s="60" t="inlineStr">
        <is>
          <t>1) PARÁMETROS DEL ESCENARIO (editable)</t>
        </is>
      </c>
      <c r="B4" s="61" t="n"/>
      <c r="C4" s="61" t="n"/>
      <c r="D4" s="61" t="n"/>
    </row>
    <row r="5" ht="15" customHeight="1" s="51">
      <c r="A5" s="50" t="inlineStr">
        <is>
          <t>% de referencias con video (8 fotos + video)</t>
        </is>
      </c>
      <c r="B5" s="89" t="n">
        <v>0.5</v>
      </c>
      <c r="C5" s="50" t="inlineStr">
        <is>
          <t>Referencias sin video reciben solo 5 fotos, no video.</t>
        </is>
      </c>
    </row>
    <row r="6" ht="15" customHeight="1" s="51">
      <c r="A6" s="50" t="inlineStr">
        <is>
          <t>N° de fotos finales para referencias SIN video</t>
        </is>
      </c>
      <c r="B6" s="90" t="n">
        <v>5</v>
      </c>
    </row>
    <row r="7" ht="15" customHeight="1" s="51">
      <c r="A7" s="50" t="inlineStr">
        <is>
          <t>N° de fotos finales para referencias CON video (referencia)</t>
        </is>
      </c>
      <c r="B7" s="90" t="n">
        <v>8</v>
      </c>
    </row>
    <row r="8" ht="34.5" customHeight="1" s="51">
      <c r="A8" s="91" t="inlineStr">
        <is>
          <t>Supuesto: el costo de generación fotográfica + escalado se prorratea linealmente según el número de fotos entregadas (el pipeline genera en lotes de 4). Las fichas técnicas de producto se mantienen fijas, ya que se necesitan sin importar cuántas fotos finales se entreguen.</t>
        </is>
      </c>
    </row>
    <row r="10" ht="15" customHeight="1" s="51">
      <c r="A10" s="60" t="inlineStr">
        <is>
          <t>2) DISTRIBUCIÓN DE LAS 55 REFERENCIAS</t>
        </is>
      </c>
      <c r="B10" s="61" t="n"/>
      <c r="C10" s="61" t="n"/>
      <c r="D10" s="61" t="n"/>
    </row>
    <row r="11" ht="15" customHeight="1" s="51">
      <c r="A11" s="62" t="inlineStr">
        <is>
          <t>Concepto</t>
        </is>
      </c>
      <c r="B11" s="62" t="inlineStr">
        <is>
          <t>Cantidad</t>
        </is>
      </c>
      <c r="C11" s="62" t="n"/>
      <c r="D11" s="62" t="n"/>
    </row>
    <row r="12" ht="15" customHeight="1" s="51">
      <c r="A12" s="50" t="inlineStr">
        <is>
          <t>Total de referencias</t>
        </is>
      </c>
      <c r="B12" s="50">
        <f>Parametros!$B$8</f>
        <v/>
      </c>
    </row>
    <row r="13" ht="15" customHeight="1" s="51">
      <c r="A13" s="92" t="inlineStr">
        <is>
          <t>Referencias CON video (Tipo A — 8 fotos + video)</t>
        </is>
      </c>
      <c r="B13" s="92">
        <f>ROUND(B12*'Escenario Mixto Video-Fotos'!$B$5,0)</f>
        <v/>
      </c>
    </row>
    <row r="14" ht="15" customHeight="1" s="51">
      <c r="A14" s="93" t="inlineStr">
        <is>
          <t>Referencias SIN video (Tipo B — 5 fotos, sin video)</t>
        </is>
      </c>
      <c r="B14" s="93">
        <f>B12-B13</f>
        <v/>
      </c>
    </row>
    <row r="16" ht="15" customHeight="1" s="51">
      <c r="A16" s="60" t="inlineStr">
        <is>
          <t>3) COSTO UNITARIO POR TIPO DE REFERENCIA (incl. contingencia)</t>
        </is>
      </c>
      <c r="B16" s="61" t="n"/>
      <c r="C16" s="61" t="n"/>
      <c r="D16" s="61" t="n"/>
    </row>
    <row r="17" ht="26.25" customHeight="1" s="51">
      <c r="A17" s="62" t="inlineStr">
        <is>
          <t>Concepto</t>
        </is>
      </c>
      <c r="B17" s="62" t="inlineStr">
        <is>
          <t>Tipo A — con video (8 fotos)</t>
        </is>
      </c>
      <c r="C17" s="62" t="inlineStr">
        <is>
          <t>Tipo B — sin video (5 fotos)</t>
        </is>
      </c>
      <c r="D17" s="62" t="inlineStr">
        <is>
          <t>Nota</t>
        </is>
      </c>
    </row>
    <row r="18" ht="15" customHeight="1" s="51">
      <c r="A18" s="50" t="inlineStr">
        <is>
          <t>Fichas técnicas (identidad + fit interno) — fijo</t>
        </is>
      </c>
      <c r="B18" s="79">
        <f>'Costeo Generacion IA'!$D$11+'Costeo Generacion IA'!$D$12</f>
        <v/>
      </c>
      <c r="C18" s="79">
        <f>'Costeo Generacion IA'!$D$11+'Costeo Generacion IA'!$D$12</f>
        <v/>
      </c>
      <c r="D18" s="50" t="inlineStr">
        <is>
          <t>Igual para ambos tipos: se necesita la ficha sin importar el N° de fotos</t>
        </is>
      </c>
    </row>
    <row r="19" ht="15" customHeight="1" s="51">
      <c r="A19" s="50" t="inlineStr">
        <is>
          <t>Fotografía + escalado (Tipo A: set completo · Tipo B: itemizado igual al escenario Sin Video)</t>
        </is>
      </c>
      <c r="B19" s="79">
        <f>'Costeo Generacion IA'!$D$15+'Costeo Generacion IA'!$D$16+'Costeo Generacion IA'!$D$17+'Costeo Generacion IA'!$D$19+'Costeo Generacion IA'!$D$18</f>
        <v/>
      </c>
      <c r="C19" s="79">
        <f>'Costeo Generacion IA'!$D$15+'Costeo Generacion IA'!$D$16+'Costeo Generacion IA'!$D$19+'Costeo Generacion IA'!$D$18</f>
        <v/>
      </c>
      <c r="D19" s="50" t="inlineStr">
        <is>
          <t>Tipo B ya no prorratea: usa imagen base + 1 set de 4 fotos (4K) + LLM + escalado de esas 4, igual que la hoja Sin Video 5 Fotos</t>
        </is>
      </c>
    </row>
    <row r="20" ht="15" customHeight="1" s="51">
      <c r="A20" s="67" t="inlineStr">
        <is>
          <t>Subtotal base (fichas + fotografía)</t>
        </is>
      </c>
      <c r="B20" s="69">
        <f>B18+B19</f>
        <v/>
      </c>
      <c r="C20" s="69">
        <f>C18+C19</f>
        <v/>
      </c>
      <c r="D20" s="68" t="n"/>
    </row>
    <row r="21" ht="15" customHeight="1" s="51">
      <c r="A21" s="50" t="inlineStr">
        <is>
          <t>Contingencia por regeneración de imágenes/fichas (%)</t>
        </is>
      </c>
      <c r="B21" s="79">
        <f>B20*Parametros!$B$23</f>
        <v/>
      </c>
      <c r="C21" s="79">
        <f>C20*Parametros!$B$23</f>
        <v/>
      </c>
    </row>
    <row r="22" ht="15" customHeight="1" s="51">
      <c r="A22" s="50" t="inlineStr">
        <is>
          <t>Video de campaña (base)</t>
        </is>
      </c>
      <c r="B22" s="79">
        <f>'Costeo Generacion IA'!$D$26</f>
        <v/>
      </c>
      <c r="C22" s="79" t="n">
        <v>0</v>
      </c>
      <c r="D22" s="50" t="inlineStr">
        <is>
          <t>Tipo B no incluye video</t>
        </is>
      </c>
    </row>
    <row r="23" ht="15" customHeight="1" s="51">
      <c r="A23" s="50" t="inlineStr">
        <is>
          <t>Contingencia por regeneración de video (%)</t>
        </is>
      </c>
      <c r="B23" s="79">
        <f>B22*Parametros!$B$24</f>
        <v/>
      </c>
      <c r="C23" s="79" t="n">
        <v>0</v>
      </c>
    </row>
    <row r="24" ht="15" customHeight="1" s="51">
      <c r="A24" s="74" t="inlineStr">
        <is>
          <t>TOTAL POR REFERENCIA incl. contingencia (USD)</t>
        </is>
      </c>
      <c r="B24" s="76">
        <f>B20+B21+B22+B23</f>
        <v/>
      </c>
      <c r="C24" s="76">
        <f>C20+C21+C22+C23</f>
        <v/>
      </c>
      <c r="D24" s="75" t="n"/>
    </row>
    <row r="25" ht="15" customHeight="1" s="51">
      <c r="A25" s="74" t="inlineStr">
        <is>
          <t>TOTAL POR REFERENCIA incl. contingencia (COP)</t>
        </is>
      </c>
      <c r="B25" s="77">
        <f>B24*Parametros!$B$5</f>
        <v/>
      </c>
      <c r="C25" s="77">
        <f>C24*Parametros!$B$5</f>
        <v/>
      </c>
      <c r="D25" s="75" t="n"/>
    </row>
    <row r="27" ht="15" customHeight="1" s="51">
      <c r="A27" s="60" t="inlineStr">
        <is>
          <t>4) COSTO TOTAL DE GENERACIÓN — PROYECTO MIXTO (55 referencias)</t>
        </is>
      </c>
      <c r="B27" s="61" t="n"/>
      <c r="C27" s="61" t="n"/>
      <c r="D27" s="61" t="n"/>
    </row>
    <row r="28" ht="15" customHeight="1" s="51">
      <c r="A28" s="62" t="inlineStr">
        <is>
          <t>Concepto</t>
        </is>
      </c>
      <c r="B28" s="62" t="inlineStr">
        <is>
          <t>Cantidad</t>
        </is>
      </c>
      <c r="C28" s="62" t="inlineStr">
        <is>
          <t>Valor (USD)</t>
        </is>
      </c>
      <c r="D28" s="62" t="inlineStr">
        <is>
          <t>Valor (COP)</t>
        </is>
      </c>
    </row>
    <row r="29" ht="15" customHeight="1" s="51">
      <c r="A29" s="50" t="inlineStr">
        <is>
          <t>Modelos IA (identidad, 1 vez c/u)</t>
        </is>
      </c>
      <c r="B29" s="50">
        <f>Parametros!$B$9</f>
        <v/>
      </c>
      <c r="C29" s="79">
        <f>'Costeo Generacion IA'!$D$6*Parametros!$B$9</f>
        <v/>
      </c>
      <c r="D29" s="65">
        <f>C29*Parametros!$B$5</f>
        <v/>
      </c>
    </row>
    <row r="30" ht="15" customHeight="1" s="51">
      <c r="A30" s="92" t="inlineStr">
        <is>
          <t>Referencias Tipo A (con video)</t>
        </is>
      </c>
      <c r="B30" s="92">
        <f>B13</f>
        <v/>
      </c>
      <c r="C30" s="94">
        <f>B24*B13</f>
        <v/>
      </c>
      <c r="D30" s="95">
        <f>C30*Parametros!$B$5</f>
        <v/>
      </c>
    </row>
    <row r="31" ht="15" customHeight="1" s="51">
      <c r="A31" s="93" t="inlineStr">
        <is>
          <t>Referencias Tipo B (sin video, 5 fotos)</t>
        </is>
      </c>
      <c r="B31" s="93">
        <f>B14</f>
        <v/>
      </c>
      <c r="C31" s="96">
        <f>C24*B14</f>
        <v/>
      </c>
      <c r="D31" s="97">
        <f>C31*Parametros!$B$5</f>
        <v/>
      </c>
    </row>
    <row r="32" ht="15" customHeight="1" s="51">
      <c r="A32" s="74" t="inlineStr">
        <is>
          <t>TOTAL COSTO DE GENERACIÓN IA (mixto)</t>
        </is>
      </c>
      <c r="B32" s="75" t="n"/>
      <c r="C32" s="76">
        <f>C29+C30+C31</f>
        <v/>
      </c>
      <c r="D32" s="77">
        <f>D29+D30+D31</f>
        <v/>
      </c>
    </row>
    <row r="34" ht="15" customHeight="1" s="51">
      <c r="A34" s="60" t="inlineStr">
        <is>
          <t>5) COSTO TOTAL DEL PROYECTO Y PRECIO CON MARGEN</t>
        </is>
      </c>
      <c r="B34" s="61" t="n"/>
      <c r="C34" s="61" t="n"/>
      <c r="D34" s="61" t="n"/>
    </row>
    <row r="35" ht="15" customHeight="1" s="51">
      <c r="A35" s="62" t="inlineStr">
        <is>
          <t>Concepto</t>
        </is>
      </c>
      <c r="B35" s="62" t="n"/>
      <c r="C35" s="62" t="inlineStr">
        <is>
          <t>Valor (USD)</t>
        </is>
      </c>
      <c r="D35" s="62" t="inlineStr">
        <is>
          <t>Valor (COP)</t>
        </is>
      </c>
    </row>
    <row r="36" ht="15" customHeight="1" s="51">
      <c r="A36" s="50" t="inlineStr">
        <is>
          <t>Suscripciones de herramientas (parte asignada)</t>
        </is>
      </c>
      <c r="C36" s="79">
        <f>(Parametros!$B$13+Parametros!$B$15+Parametros!$B$14/Parametros!$B$5)*Parametros!$B$16</f>
        <v/>
      </c>
      <c r="D36" s="65">
        <f>C36*Parametros!$B$5</f>
        <v/>
      </c>
    </row>
    <row r="37" ht="15" customHeight="1" s="51">
      <c r="A37" s="50" t="inlineStr">
        <is>
          <t>Mano de obra / dirección creativa</t>
        </is>
      </c>
      <c r="C37" s="79">
        <f>(Parametros!$B$19*Parametros!$B$20)/Parametros!$B$5</f>
        <v/>
      </c>
      <c r="D37" s="65">
        <f>Parametros!$B$19*Parametros!$B$20</f>
        <v/>
      </c>
    </row>
    <row r="38" ht="15" customHeight="1" s="51">
      <c r="A38" s="74" t="inlineStr">
        <is>
          <t>COSTO TOTAL DEL PROYECTO (mixto)</t>
        </is>
      </c>
      <c r="B38" s="75" t="n"/>
      <c r="C38" s="76">
        <f>C32+C36+C37</f>
        <v/>
      </c>
      <c r="D38" s="77">
        <f>D32+D36+D37</f>
        <v/>
      </c>
    </row>
    <row r="39" ht="15" customHeight="1" s="51">
      <c r="A39" s="83" t="inlineStr">
        <is>
          <t>PRECIO TOTAL AL CLIENTE (costo x (1+margen) x (1+IVA))</t>
        </is>
      </c>
      <c r="B39" s="84" t="n"/>
      <c r="C39" s="98">
        <f>C38*(1+Parametros!$B$27)*(1+Parametros!$B$28)</f>
        <v/>
      </c>
      <c r="D39" s="85">
        <f>D38*(1+Parametros!$B$27)*(1+Parametros!$B$28)</f>
        <v/>
      </c>
    </row>
    <row r="40" ht="15" customHeight="1" s="51">
      <c r="A40" s="83" t="inlineStr">
        <is>
          <t>Precio por referencia (promedio del proyecto)</t>
        </is>
      </c>
      <c r="B40" s="84" t="n"/>
      <c r="C40" s="84" t="n"/>
      <c r="D40" s="85">
        <f>D39/Parametros!$B$8</f>
        <v/>
      </c>
    </row>
    <row r="42" ht="15" customHeight="1" s="51">
      <c r="A42" s="60" t="inlineStr">
        <is>
          <t>6) PRECIO DE VENTA SUGERIDO POR TIPO DE REFERENCIA (lista diferenciada)</t>
        </is>
      </c>
      <c r="B42" s="61" t="n"/>
      <c r="C42" s="61" t="n"/>
      <c r="D42" s="61" t="n"/>
    </row>
    <row r="43" ht="26.25" customHeight="1" s="51">
      <c r="A43" s="62" t="inlineStr">
        <is>
          <t>Concepto</t>
        </is>
      </c>
      <c r="B43" s="62" t="inlineStr">
        <is>
          <t>Tipo A — con video (COP)</t>
        </is>
      </c>
      <c r="C43" s="62" t="inlineStr">
        <is>
          <t>Tipo B — sin video (COP)</t>
        </is>
      </c>
      <c r="D43" s="62" t="inlineStr">
        <is>
          <t>Nota</t>
        </is>
      </c>
    </row>
    <row r="44" ht="15" customHeight="1" s="51">
      <c r="A44" s="83" t="inlineStr">
        <is>
          <t>Precio de venta por referencia (costo unitario x (1+margen) x (1+IVA))</t>
        </is>
      </c>
      <c r="B44" s="85">
        <f>B25*(1+Parametros!$B$27)*(1+Parametros!$B$28)</f>
        <v/>
      </c>
      <c r="C44" s="85">
        <f>C25*(1+Parametros!$B$27)*(1+Parametros!$B$28)</f>
        <v/>
      </c>
      <c r="D44" s="84" t="inlineStr">
        <is>
          <t>Antes de prorratear gastos fijos (herramientas + mano de obra)</t>
        </is>
      </c>
    </row>
    <row r="45" ht="15" customHeight="1" s="51">
      <c r="A45" s="99" t="inlineStr">
        <is>
          <t>Nota: esta lista por tipo aplica el margen solo sobre el costo variable de generación de cada referencia. Los costos fijos (herramientas + mano de obra) ya están cubiertos en el precio total del punto 5, que es la cifra a cotizar formalmente al cliente.</t>
        </is>
      </c>
    </row>
  </sheetData>
  <mergeCells count="4">
    <mergeCell ref="A1:D1"/>
    <mergeCell ref="A45:D45"/>
    <mergeCell ref="A8:D8"/>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4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0" customWidth="1" style="50" min="1" max="1"/>
    <col width="26" customWidth="1" style="50" min="2" max="2"/>
    <col width="20" customWidth="1" style="50" min="3" max="3"/>
    <col width="22" customWidth="1" style="50" min="4" max="4"/>
  </cols>
  <sheetData>
    <row r="1" ht="17.25" customHeight="1" s="51">
      <c r="A1" s="52" t="inlineStr">
        <is>
          <t>APARTADO: ESCENARIO SIN VIDEO — 5 FOTOS POR REFERENCIA</t>
        </is>
      </c>
    </row>
    <row r="2" ht="15" customHeight="1" s="51">
      <c r="A2" s="53" t="inlineStr">
        <is>
          <t>De las 5 fotos entregadas, 1 es la ficha de identidad de la prenda y 4 son fotos de campaña, todas con escalado Topaz. La ficha de fit se sigue generando (uso interno) pero no se entrega ni se cuenta en las 5.</t>
        </is>
      </c>
    </row>
    <row r="4" ht="15" customHeight="1" s="51">
      <c r="A4" s="60" t="inlineStr">
        <is>
          <t>1) COMPOSICIÓN DE LAS 5 FOTOS ENTREGADAS</t>
        </is>
      </c>
      <c r="B4" s="61" t="n"/>
      <c r="C4" s="61" t="n"/>
      <c r="D4" s="61" t="n"/>
    </row>
    <row r="5" ht="26.25" customHeight="1" s="51">
      <c r="A5" s="62" t="inlineStr">
        <is>
          <t>Foto #</t>
        </is>
      </c>
      <c r="B5" s="62" t="inlineStr">
        <is>
          <t>Origen</t>
        </is>
      </c>
      <c r="C5" s="62" t="inlineStr">
        <is>
          <t>¿Lleva escalado Topaz?</t>
        </is>
      </c>
      <c r="D5" s="62" t="inlineStr">
        <is>
          <t>Nota</t>
        </is>
      </c>
    </row>
    <row r="6" ht="15" customHeight="1" s="51">
      <c r="A6" s="50" t="inlineStr">
        <is>
          <t>1</t>
        </is>
      </c>
      <c r="B6" s="50" t="inlineStr">
        <is>
          <t>Ficha de identidad de la prenda (KIE)</t>
        </is>
      </c>
      <c r="C6" s="50" t="inlineStr">
        <is>
          <t>No</t>
        </is>
      </c>
      <c r="D6" s="50" t="inlineStr">
        <is>
          <t>Ya se entrega en alta resolución nativa (4K)</t>
        </is>
      </c>
    </row>
    <row r="7" ht="15" customHeight="1" s="51">
      <c r="A7" s="50" t="inlineStr">
        <is>
          <t>2</t>
        </is>
      </c>
      <c r="B7" s="50" t="inlineStr">
        <is>
          <t>Foto de campaña (Figma Weave / Nanobanana Pro)</t>
        </is>
      </c>
      <c r="C7" s="50" t="inlineStr">
        <is>
          <t>Sí</t>
        </is>
      </c>
    </row>
    <row r="8" ht="15" customHeight="1" s="51">
      <c r="A8" s="50" t="inlineStr">
        <is>
          <t>3</t>
        </is>
      </c>
      <c r="B8" s="50" t="inlineStr">
        <is>
          <t>Foto de campaña (Figma Weave / Nanobanana Pro)</t>
        </is>
      </c>
      <c r="C8" s="50" t="inlineStr">
        <is>
          <t>Sí</t>
        </is>
      </c>
    </row>
    <row r="9" ht="15" customHeight="1" s="51">
      <c r="A9" s="50" t="inlineStr">
        <is>
          <t>4</t>
        </is>
      </c>
      <c r="B9" s="50" t="inlineStr">
        <is>
          <t>Foto de campaña (Figma Weave / Nanobanana Pro)</t>
        </is>
      </c>
      <c r="C9" s="50" t="inlineStr">
        <is>
          <t>Sí</t>
        </is>
      </c>
    </row>
    <row r="10" ht="15" customHeight="1" s="51">
      <c r="A10" s="50" t="inlineStr">
        <is>
          <t>5</t>
        </is>
      </c>
      <c r="B10" s="50" t="inlineStr">
        <is>
          <t>Foto de campaña (Figma Weave / Nanobanana Pro)</t>
        </is>
      </c>
      <c r="C10" s="50" t="inlineStr">
        <is>
          <t>Sí</t>
        </is>
      </c>
    </row>
    <row r="12" ht="15" customHeight="1" s="51">
      <c r="A12" s="60" t="inlineStr">
        <is>
          <t>2) COSTO UNITARIO POR REFERENCIA (incl. contingencia)</t>
        </is>
      </c>
      <c r="B12" s="61" t="n"/>
      <c r="C12" s="61" t="n"/>
      <c r="D12" s="61" t="n"/>
    </row>
    <row r="13" ht="15" customHeight="1" s="51">
      <c r="A13" s="62" t="inlineStr">
        <is>
          <t>Concepto</t>
        </is>
      </c>
      <c r="B13" s="62" t="inlineStr">
        <is>
          <t>Valor (USD)</t>
        </is>
      </c>
      <c r="C13" s="62" t="inlineStr">
        <is>
          <t>Valor (COP)</t>
        </is>
      </c>
      <c r="D13" s="62" t="inlineStr">
        <is>
          <t>Nota</t>
        </is>
      </c>
    </row>
    <row r="14" ht="15" customHeight="1" s="51">
      <c r="A14" s="50" t="inlineStr">
        <is>
          <t>Ficha de identidad de la prenda — SE ENTREGA (foto 1 de 5)</t>
        </is>
      </c>
      <c r="B14" s="79">
        <f>'Costeo Generacion IA'!$D$11</f>
        <v/>
      </c>
      <c r="C14" s="65">
        <f>B14*Parametros!$B$5</f>
        <v/>
      </c>
    </row>
    <row r="15" ht="15" customHeight="1" s="51">
      <c r="A15" s="50" t="inlineStr">
        <is>
          <t>Ficha de fit — uso interno, NO se entrega ni cuenta en las 5</t>
        </is>
      </c>
      <c r="B15" s="79">
        <f>'Costeo Generacion IA'!$D$12</f>
        <v/>
      </c>
      <c r="C15" s="65">
        <f>B15*Parametros!$B$5</f>
        <v/>
      </c>
    </row>
    <row r="16" ht="15" customHeight="1" s="51">
      <c r="A16" s="50" t="inlineStr">
        <is>
          <t>Imagen base (modelo + outfit)</t>
        </is>
      </c>
      <c r="B16" s="79">
        <f>'Costeo Generacion IA'!$D$15</f>
        <v/>
      </c>
      <c r="C16" s="65">
        <f>B16*Parametros!$B$5</f>
        <v/>
      </c>
    </row>
    <row r="17" ht="15" customHeight="1" s="51">
      <c r="A17" s="50" t="inlineStr">
        <is>
          <t>Set de 4 fotos de campaña (4K) — fotos 2 a 5</t>
        </is>
      </c>
      <c r="B17" s="79">
        <f>'Costeo Generacion IA'!$D$16</f>
        <v/>
      </c>
      <c r="C17" s="65">
        <f>B17*Parametros!$B$5</f>
        <v/>
      </c>
    </row>
    <row r="18" ht="15" customHeight="1" s="51">
      <c r="A18" s="50" t="inlineStr">
        <is>
          <t>Nodos LLM auxiliares para prompts</t>
        </is>
      </c>
      <c r="B18" s="79">
        <f>'Costeo Generacion IA'!$D$19</f>
        <v/>
      </c>
      <c r="C18" s="65">
        <f>B18*Parametros!$B$5</f>
        <v/>
      </c>
    </row>
    <row r="19" ht="15" customHeight="1" s="51">
      <c r="A19" s="50" t="inlineStr">
        <is>
          <t>Escalado Topaz Upscaler (4 de 5 fotos: las de campaña)</t>
        </is>
      </c>
      <c r="B19" s="79">
        <f>'Costeo Generacion IA'!$D$18</f>
        <v/>
      </c>
      <c r="C19" s="65">
        <f>B19*Parametros!$B$5</f>
        <v/>
      </c>
      <c r="D19" s="50" t="inlineStr">
        <is>
          <t>Mismo costo que escalar 4 de 8 en el escenario base</t>
        </is>
      </c>
    </row>
    <row r="20" ht="15" customHeight="1" s="51">
      <c r="A20" s="67" t="inlineStr">
        <is>
          <t>Subtotal base por referencia</t>
        </is>
      </c>
      <c r="B20" s="69">
        <f>B14+B15+B16+B17+B18+B19</f>
        <v/>
      </c>
      <c r="C20" s="70">
        <f>B20*Parametros!$B$5</f>
        <v/>
      </c>
      <c r="D20" s="68" t="n"/>
    </row>
    <row r="21" ht="15" customHeight="1" s="51">
      <c r="A21" s="50" t="inlineStr">
        <is>
          <t>Contingencia por regeneración de fotos/fichas (% Parámetros)</t>
        </is>
      </c>
      <c r="B21" s="79">
        <f>B20*Parametros!$B$23</f>
        <v/>
      </c>
      <c r="C21" s="65">
        <f>B21*Parametros!$B$5</f>
        <v/>
      </c>
    </row>
    <row r="22" ht="15" customHeight="1" s="51">
      <c r="A22" s="74" t="inlineStr">
        <is>
          <t>TOTAL GENERACIÓN POR REFERENCIA incl. contingencia</t>
        </is>
      </c>
      <c r="B22" s="76">
        <f>B20+B21</f>
        <v/>
      </c>
      <c r="C22" s="77">
        <f>B22*Parametros!$B$5</f>
        <v/>
      </c>
      <c r="D22" s="75" t="n"/>
    </row>
    <row r="24" ht="15" customHeight="1" s="51">
      <c r="A24" s="60" t="inlineStr">
        <is>
          <t>3) COSTO TOTAL DE GENERACIÓN IA — PROYECTO (55 referencias)</t>
        </is>
      </c>
      <c r="B24" s="61" t="n"/>
      <c r="C24" s="61" t="n"/>
      <c r="D24" s="61" t="n"/>
    </row>
    <row r="25" ht="15" customHeight="1" s="51">
      <c r="A25" s="62" t="inlineStr">
        <is>
          <t>Concepto</t>
        </is>
      </c>
      <c r="B25" s="62" t="inlineStr">
        <is>
          <t>Cantidad</t>
        </is>
      </c>
      <c r="C25" s="62" t="inlineStr">
        <is>
          <t>Valor (USD)</t>
        </is>
      </c>
      <c r="D25" s="62" t="inlineStr">
        <is>
          <t>Valor (COP)</t>
        </is>
      </c>
    </row>
    <row r="26" ht="15" customHeight="1" s="51">
      <c r="A26" s="50" t="inlineStr">
        <is>
          <t>Modelos IA (identidad, 1 vez c/u)</t>
        </is>
      </c>
      <c r="B26" s="50">
        <f>Parametros!$B$9</f>
        <v/>
      </c>
      <c r="C26" s="79">
        <f>'Costeo Generacion IA'!$D$6*Parametros!$B$9</f>
        <v/>
      </c>
      <c r="D26" s="65">
        <f>C26*Parametros!$B$5</f>
        <v/>
      </c>
    </row>
    <row r="27" ht="15" customHeight="1" s="51">
      <c r="A27" s="50" t="inlineStr">
        <is>
          <t>Fichas + fotografía (5 fotos, incl. contingencia) x referencia</t>
        </is>
      </c>
      <c r="B27" s="50">
        <f>Parametros!$B$8</f>
        <v/>
      </c>
      <c r="C27" s="79">
        <f>B22*Parametros!$B$8</f>
        <v/>
      </c>
      <c r="D27" s="65">
        <f>C27*Parametros!$B$5</f>
        <v/>
      </c>
    </row>
    <row r="28" ht="15" customHeight="1" s="51">
      <c r="A28" s="74" t="inlineStr">
        <is>
          <t>TOTAL COSTO DE GENERACIÓN IA (COGS)</t>
        </is>
      </c>
      <c r="B28" s="75" t="n"/>
      <c r="C28" s="76">
        <f>C26+C27</f>
        <v/>
      </c>
      <c r="D28" s="77">
        <f>D26+D27</f>
        <v/>
      </c>
    </row>
    <row r="30" ht="15" customHeight="1" s="51">
      <c r="A30" s="60" t="inlineStr">
        <is>
          <t>4) COSTO TOTAL DEL PROYECTO Y PRECIO CON MARGEN</t>
        </is>
      </c>
      <c r="B30" s="61" t="n"/>
      <c r="C30" s="61" t="n"/>
      <c r="D30" s="61" t="n"/>
    </row>
    <row r="31" ht="15" customHeight="1" s="51">
      <c r="A31" s="62" t="inlineStr">
        <is>
          <t>Concepto</t>
        </is>
      </c>
      <c r="B31" s="62" t="n"/>
      <c r="C31" s="62" t="inlineStr">
        <is>
          <t>Valor (USD)</t>
        </is>
      </c>
      <c r="D31" s="62" t="inlineStr">
        <is>
          <t>Valor (COP)</t>
        </is>
      </c>
    </row>
    <row r="32" ht="15" customHeight="1" s="51">
      <c r="A32" s="50" t="inlineStr">
        <is>
          <t>Suscripciones de herramientas (parte asignada)</t>
        </is>
      </c>
      <c r="C32" s="79">
        <f>(Parametros!$B$13+Parametros!$B$15+Parametros!$B$14/Parametros!$B$5)*Parametros!$B$16</f>
        <v/>
      </c>
      <c r="D32" s="65">
        <f>C32*Parametros!$B$5</f>
        <v/>
      </c>
    </row>
    <row r="33" ht="15" customHeight="1" s="51">
      <c r="A33" s="50" t="inlineStr">
        <is>
          <t>Mano de obra / dirección creativa (mismas horas del escenario base — ajustable)</t>
        </is>
      </c>
      <c r="C33" s="79">
        <f>(Parametros!$B$19*Parametros!$B$20)/Parametros!$B$5</f>
        <v/>
      </c>
      <c r="D33" s="65">
        <f>Parametros!$B$19*Parametros!$B$20</f>
        <v/>
      </c>
    </row>
    <row r="34" ht="15" customHeight="1" s="51">
      <c r="A34" s="74" t="inlineStr">
        <is>
          <t>COSTO TOTAL DEL PROYECTO (sin video, 5 fotos)</t>
        </is>
      </c>
      <c r="B34" s="75" t="n"/>
      <c r="C34" s="76">
        <f>C28+C32+C33</f>
        <v/>
      </c>
      <c r="D34" s="77">
        <f>D28+D32+D33</f>
        <v/>
      </c>
    </row>
    <row r="35" ht="15" customHeight="1" s="51">
      <c r="A35" s="83" t="inlineStr">
        <is>
          <t>PRECIO TOTAL AL CLIENTE (costo x (1+margen) x (1+IVA))</t>
        </is>
      </c>
      <c r="B35" s="84" t="n"/>
      <c r="C35" s="98">
        <f>C34*(1+Parametros!$B$27)*(1+Parametros!$B$28)</f>
        <v/>
      </c>
      <c r="D35" s="85">
        <f>D34*(1+Parametros!$B$27)*(1+Parametros!$B$28)</f>
        <v/>
      </c>
    </row>
    <row r="36" ht="15" customHeight="1" s="51">
      <c r="A36" s="83" t="inlineStr">
        <is>
          <t>Precio por referencia</t>
        </is>
      </c>
      <c r="B36" s="84" t="n"/>
      <c r="C36" s="84" t="n"/>
      <c r="D36" s="85">
        <f>D35/Parametros!$B$8</f>
        <v/>
      </c>
    </row>
    <row r="37" ht="15" customHeight="1" s="51">
      <c r="A37" s="50" t="inlineStr">
        <is>
          <t>Utilidad neta estimada del proyecto</t>
        </is>
      </c>
      <c r="C37" s="79">
        <f>C35-C34</f>
        <v/>
      </c>
      <c r="D37" s="65">
        <f>D35-D34</f>
        <v/>
      </c>
    </row>
    <row r="39" ht="15" customHeight="1" s="51">
      <c r="A39" s="60" t="inlineStr">
        <is>
          <t>5) COMPARATIVA vs. ESCENARIO BASE (8 fotos + video)</t>
        </is>
      </c>
      <c r="B39" s="61" t="n"/>
      <c r="C39" s="61" t="n"/>
      <c r="D39" s="61" t="n"/>
    </row>
    <row r="40" ht="26.25" customHeight="1" s="51">
      <c r="A40" s="62" t="inlineStr">
        <is>
          <t>Concepto</t>
        </is>
      </c>
      <c r="B40" s="62" t="inlineStr">
        <is>
          <t>Escenario base (8 fotos+video)</t>
        </is>
      </c>
      <c r="C40" s="62" t="inlineStr">
        <is>
          <t>Este escenario (5 fotos, sin video)</t>
        </is>
      </c>
      <c r="D40" s="62" t="inlineStr">
        <is>
          <t>Diferencia</t>
        </is>
      </c>
    </row>
    <row r="41" ht="15" customHeight="1" s="51">
      <c r="A41" s="50" t="inlineStr">
        <is>
          <t>Precio por referencia</t>
        </is>
      </c>
      <c r="B41" s="65">
        <f>'Resumen y Cotizacion'!$C$16</f>
        <v/>
      </c>
      <c r="C41" s="65">
        <f>D36</f>
        <v/>
      </c>
      <c r="D41" s="65">
        <f>C41-B41</f>
        <v/>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50" customWidth="1" style="51" min="1" max="1"/>
    <col width="26" customWidth="1" style="51" min="2" max="2"/>
    <col width="20" customWidth="1" style="51" min="3" max="3"/>
    <col width="22" customWidth="1" style="51" min="4" max="4"/>
  </cols>
  <sheetData>
    <row r="1">
      <c r="A1" s="100" t="inlineStr">
        <is>
          <t>APARTADO: OPCION B — 7 FOTOS (1 FICHA + 6 CAMPAÑA) + VIDEO</t>
        </is>
      </c>
    </row>
    <row r="2">
      <c r="A2" s="101" t="inlineStr">
        <is>
          <t>Desglose explicito de las 6 fotografias de campana: 3 generadas nativas en 4K y 3 generadas nativas en 2K, con escalado Topaz aplicado al 100% (las 6), siguiendo el mismo criterio del escenario "Sin Video 5 Fotos".</t>
        </is>
      </c>
    </row>
    <row r="4">
      <c r="A4" s="102" t="inlineStr">
        <is>
          <t>1) COMPOSICION DE LAS 7 FOTOS ENTREGADAS</t>
        </is>
      </c>
    </row>
    <row r="5">
      <c r="A5" s="103" t="inlineStr">
        <is>
          <t>Foto #</t>
        </is>
      </c>
      <c r="B5" s="103" t="inlineStr">
        <is>
          <t>Origen</t>
        </is>
      </c>
      <c r="C5" s="103" t="inlineStr">
        <is>
          <t>Lleva escalado Topaz?</t>
        </is>
      </c>
      <c r="D5" s="103" t="inlineStr">
        <is>
          <t>Nota</t>
        </is>
      </c>
    </row>
    <row r="6">
      <c r="A6" s="104" t="inlineStr">
        <is>
          <t>1</t>
        </is>
      </c>
      <c r="B6" s="104" t="inlineStr">
        <is>
          <t>Ficha de identidad de la prenda (KIE)</t>
        </is>
      </c>
      <c r="C6" s="104" t="inlineStr">
        <is>
          <t>No</t>
        </is>
      </c>
      <c r="D6" s="104" t="inlineStr">
        <is>
          <t>Ya se entrega en alta resolucion nativa (4K)</t>
        </is>
      </c>
    </row>
    <row r="7">
      <c r="A7" s="104" t="inlineStr">
        <is>
          <t>2</t>
        </is>
      </c>
      <c r="B7" s="104" t="inlineStr">
        <is>
          <t>Foto de campana - generada nativa en 4K (Figma Weave / Nanobanana Pro)</t>
        </is>
      </c>
      <c r="C7" s="104" t="inlineStr">
        <is>
          <t>Si</t>
        </is>
      </c>
      <c r="D7" s="104" t="inlineStr"/>
    </row>
    <row r="8">
      <c r="A8" s="104" t="inlineStr">
        <is>
          <t>3</t>
        </is>
      </c>
      <c r="B8" s="104" t="inlineStr">
        <is>
          <t>Foto de campana - generada nativa en 4K (Figma Weave / Nanobanana Pro)</t>
        </is>
      </c>
      <c r="C8" s="104" t="inlineStr">
        <is>
          <t>Si</t>
        </is>
      </c>
      <c r="D8" s="104" t="inlineStr"/>
    </row>
    <row r="9">
      <c r="A9" s="104" t="inlineStr">
        <is>
          <t>4</t>
        </is>
      </c>
      <c r="B9" s="104" t="inlineStr">
        <is>
          <t>Foto de campana - generada nativa en 4K (Figma Weave / Nanobanana Pro)</t>
        </is>
      </c>
      <c r="C9" s="104" t="inlineStr">
        <is>
          <t>Si</t>
        </is>
      </c>
      <c r="D9" s="104" t="inlineStr"/>
    </row>
    <row r="10">
      <c r="A10" s="104" t="inlineStr">
        <is>
          <t>5</t>
        </is>
      </c>
      <c r="B10" s="104" t="inlineStr">
        <is>
          <t>Foto de campana - generada nativa en 2K (Figma Weave / Nanobanana Pro)</t>
        </is>
      </c>
      <c r="C10" s="104" t="inlineStr">
        <is>
          <t>Si</t>
        </is>
      </c>
      <c r="D10" s="104" t="inlineStr"/>
    </row>
    <row r="11">
      <c r="A11" s="104" t="inlineStr">
        <is>
          <t>6</t>
        </is>
      </c>
      <c r="B11" s="104" t="inlineStr">
        <is>
          <t>Foto de campana - generada nativa en 2K (Figma Weave / Nanobanana Pro)</t>
        </is>
      </c>
      <c r="C11" s="104" t="inlineStr">
        <is>
          <t>Si</t>
        </is>
      </c>
      <c r="D11" s="104" t="inlineStr"/>
    </row>
    <row r="12">
      <c r="A12" s="104" t="inlineStr">
        <is>
          <t>7</t>
        </is>
      </c>
      <c r="B12" s="104" t="inlineStr">
        <is>
          <t>Foto de campana - generada nativa en 2K (Figma Weave / Nanobanana Pro)</t>
        </is>
      </c>
      <c r="C12" s="104" t="inlineStr">
        <is>
          <t>Si</t>
        </is>
      </c>
      <c r="D12" s="104" t="inlineStr"/>
    </row>
    <row r="14">
      <c r="A14" s="102" t="inlineStr">
        <is>
          <t>2) COSTO UNITARIO POR REFERENCIA (incl. contingencia)</t>
        </is>
      </c>
    </row>
    <row r="15">
      <c r="A15" s="103" t="inlineStr">
        <is>
          <t>Concepto</t>
        </is>
      </c>
      <c r="B15" s="103" t="inlineStr">
        <is>
          <t>Valor (USD)</t>
        </is>
      </c>
      <c r="C15" s="103" t="inlineStr">
        <is>
          <t>Valor (COP)</t>
        </is>
      </c>
      <c r="D15" s="103" t="inlineStr">
        <is>
          <t>Nota</t>
        </is>
      </c>
    </row>
    <row r="16">
      <c r="A16" s="105" t="inlineStr">
        <is>
          <t>Ficha de identidad de la prenda - SE ENTREGA (foto 1 de 7)</t>
        </is>
      </c>
      <c r="B16" s="105" t="n">
        <v>0.72</v>
      </c>
      <c r="C16" s="105" t="n">
        <v>2376</v>
      </c>
      <c r="D16" s="105" t="inlineStr"/>
    </row>
    <row r="17">
      <c r="A17" s="105" t="inlineStr">
        <is>
          <t>Ficha de fit - uso interno, NO se entrega ni cuenta en las 7</t>
        </is>
      </c>
      <c r="B17" s="105" t="n">
        <v>0.44</v>
      </c>
      <c r="C17" s="105" t="n">
        <v>1452</v>
      </c>
      <c r="D17" s="105" t="inlineStr"/>
    </row>
    <row r="18">
      <c r="A18" s="105" t="inlineStr">
        <is>
          <t>Imagen base (modelo + outfit)</t>
        </is>
      </c>
      <c r="B18" s="105" t="n">
        <v>0.23</v>
      </c>
      <c r="C18" s="105" t="n">
        <v>759</v>
      </c>
      <c r="D18" s="105" t="inlineStr">
        <is>
          <t>Preparacion; no es una foto final entregada</t>
        </is>
      </c>
    </row>
    <row r="19">
      <c r="A19" s="105" t="inlineStr">
        <is>
          <t>3 fotos de campana nativas en 4K (759 c/u)</t>
        </is>
      </c>
      <c r="B19" s="105" t="n">
        <v>0.6899999999999999</v>
      </c>
      <c r="C19" s="105" t="n">
        <v>2277</v>
      </c>
      <c r="D19" s="105" t="inlineStr">
        <is>
          <t>Fotos 2 a 4</t>
        </is>
      </c>
    </row>
    <row r="20">
      <c r="A20" s="105" t="inlineStr">
        <is>
          <t>3 fotos de campana nativas en 2K (363 c/u)</t>
        </is>
      </c>
      <c r="B20" s="105" t="n">
        <v>0.33</v>
      </c>
      <c r="C20" s="105" t="n">
        <v>1089</v>
      </c>
      <c r="D20" s="105" t="inlineStr">
        <is>
          <t>Fotos 5 a 7</t>
        </is>
      </c>
    </row>
    <row r="21">
      <c r="A21" s="105" t="inlineStr">
        <is>
          <t>Nodos LLM auxiliares para prompts</t>
        </is>
      </c>
      <c r="B21" s="105" t="n">
        <v>0.07000000000000001</v>
      </c>
      <c r="C21" s="105" t="n">
        <v>231</v>
      </c>
      <c r="D21" s="105" t="inlineStr"/>
    </row>
    <row r="22">
      <c r="A22" s="105" t="inlineStr">
        <is>
          <t>Escalado Topaz Upscaler (6 de 6 fotos de campana - el 100%)</t>
        </is>
      </c>
      <c r="B22" s="105" t="n">
        <v>1.14</v>
      </c>
      <c r="C22" s="105" t="n">
        <v>3762</v>
      </c>
      <c r="D22" s="105" t="inlineStr">
        <is>
          <t>627 COP por foto, aplicado a las 6 fotos de campana</t>
        </is>
      </c>
    </row>
    <row r="23">
      <c r="A23" s="106" t="inlineStr">
        <is>
          <t>Subtotal base por referencia</t>
        </is>
      </c>
      <c r="B23" s="106" t="n">
        <v>3.62</v>
      </c>
      <c r="C23" s="106" t="n">
        <v>11946</v>
      </c>
      <c r="D23" s="106" t="inlineStr"/>
    </row>
    <row r="24">
      <c r="A24" s="104" t="inlineStr">
        <is>
          <t>Contingencia por regeneracion de fotos/fichas (% Parametros)</t>
        </is>
      </c>
      <c r="B24" s="104" t="n">
        <v>0.724</v>
      </c>
      <c r="C24" s="104" t="n">
        <v>2389.2</v>
      </c>
      <c r="D24" s="104" t="inlineStr"/>
    </row>
    <row r="25">
      <c r="A25" s="106" t="inlineStr">
        <is>
          <t>Subtotal fichas + fotografia INCL. contingencia</t>
        </is>
      </c>
      <c r="B25" s="106" t="n">
        <v>4.344</v>
      </c>
      <c r="C25" s="106" t="n">
        <v>14335.2</v>
      </c>
      <c r="D25" s="106" t="inlineStr"/>
    </row>
    <row r="27">
      <c r="A27" s="102" t="inlineStr">
        <is>
          <t>3) VIDEO DE CAMPANA</t>
        </is>
      </c>
    </row>
    <row r="28">
      <c r="A28" s="103" t="inlineStr">
        <is>
          <t>Concepto</t>
        </is>
      </c>
      <c r="B28" s="103" t="inlineStr">
        <is>
          <t>Valor (USD)</t>
        </is>
      </c>
      <c r="C28" s="103" t="inlineStr">
        <is>
          <t>Valor (COP)</t>
        </is>
      </c>
      <c r="D28" s="103" t="inlineStr">
        <is>
          <t>Nota</t>
        </is>
      </c>
    </row>
    <row r="29">
      <c r="A29" s="105" t="inlineStr">
        <is>
          <t>Video de campana (4 clips 1080p x 4s, Omniflash)</t>
        </is>
      </c>
      <c r="B29" s="105" t="n">
        <v>1</v>
      </c>
      <c r="C29" s="105" t="n">
        <v>3300</v>
      </c>
      <c r="D29" s="105" t="inlineStr">
        <is>
          <t>APIMART - igual que en las demas opciones</t>
        </is>
      </c>
    </row>
    <row r="30">
      <c r="A30" s="104" t="inlineStr">
        <is>
          <t>Contingencia por regeneracion de clips de video (% Parametros)</t>
        </is>
      </c>
      <c r="B30" s="104" t="n">
        <v>0.25</v>
      </c>
      <c r="C30" s="104" t="n">
        <v>825</v>
      </c>
      <c r="D30" s="104" t="inlineStr"/>
    </row>
    <row r="31">
      <c r="A31" s="106" t="inlineStr">
        <is>
          <t>Video INCL. contingencia</t>
        </is>
      </c>
      <c r="B31" s="106" t="n">
        <v>1.25</v>
      </c>
      <c r="C31" s="106" t="n">
        <v>4125</v>
      </c>
      <c r="D31" s="106" t="inlineStr"/>
    </row>
    <row r="33">
      <c r="A33" s="102" t="inlineStr">
        <is>
          <t>4) TOTAL GENERACION POR REFERENCIA (Opcion B) incl. contingencia</t>
        </is>
      </c>
    </row>
    <row r="34">
      <c r="A34" s="103" t="inlineStr">
        <is>
          <t>Concepto</t>
        </is>
      </c>
      <c r="B34" s="103" t="inlineStr">
        <is>
          <t>Valor (USD)</t>
        </is>
      </c>
      <c r="C34" s="103" t="inlineStr">
        <is>
          <t>Valor (COP)</t>
        </is>
      </c>
      <c r="D34" s="103" t="inlineStr">
        <is>
          <t>Nota</t>
        </is>
      </c>
    </row>
    <row r="35">
      <c r="A35" s="106" t="inlineStr">
        <is>
          <t>TOTAL POR REFERENCIA incl. contingencia (fichas + 7 fotos + video)</t>
        </is>
      </c>
      <c r="B35" s="106" t="n">
        <v>5.594</v>
      </c>
      <c r="C35" s="106" t="n">
        <v>18460.2</v>
      </c>
      <c r="D35" s="106" t="inlineStr"/>
    </row>
    <row r="37">
      <c r="A37" s="102" t="inlineStr">
        <is>
          <t>5) COSTO TOTAL DE GENERACION IA - PROYECTO (55 referencias)</t>
        </is>
      </c>
    </row>
    <row r="38">
      <c r="A38" s="103" t="inlineStr">
        <is>
          <t>Concepto</t>
        </is>
      </c>
      <c r="B38" s="103" t="inlineStr">
        <is>
          <t>Cantidad</t>
        </is>
      </c>
      <c r="C38" s="103" t="inlineStr">
        <is>
          <t>Valor (USD)</t>
        </is>
      </c>
      <c r="D38" s="103" t="inlineStr">
        <is>
          <t>Valor (COP)</t>
        </is>
      </c>
    </row>
    <row r="39">
      <c r="A39" s="104" t="inlineStr">
        <is>
          <t>Modelos IA (identidad, 1 vez c/u)</t>
        </is>
      </c>
      <c r="B39" s="104" t="n">
        <v>5</v>
      </c>
      <c r="C39" s="104" t="n">
        <v>3.3</v>
      </c>
      <c r="D39" s="104" t="n">
        <v>10890</v>
      </c>
    </row>
    <row r="40">
      <c r="A40" s="104" t="inlineStr">
        <is>
          <t>Fichas + fotografia + video (incl. contingencia) x referencia</t>
        </is>
      </c>
      <c r="B40" s="104" t="n">
        <v>55</v>
      </c>
      <c r="C40" s="104" t="n">
        <v>307.67</v>
      </c>
      <c r="D40" s="104" t="n">
        <v>1015311</v>
      </c>
    </row>
    <row r="41">
      <c r="A41" s="106" t="inlineStr">
        <is>
          <t>TOTAL COSTO DE GENERACION IA (COGS)</t>
        </is>
      </c>
      <c r="B41" s="106" t="inlineStr"/>
      <c r="C41" s="106" t="n">
        <v>310.97</v>
      </c>
      <c r="D41" s="106" t="n">
        <v>1026201</v>
      </c>
    </row>
    <row r="43">
      <c r="A43" s="102" t="inlineStr">
        <is>
          <t>6) COSTO TOTAL DEL PROYECTO Y PRECIO CON MARGEN</t>
        </is>
      </c>
    </row>
    <row r="44">
      <c r="A44" s="103" t="inlineStr">
        <is>
          <t>Concepto</t>
        </is>
      </c>
      <c r="B44" s="103" t="inlineStr"/>
      <c r="C44" s="103" t="inlineStr">
        <is>
          <t>Valor (USD)</t>
        </is>
      </c>
      <c r="D44" s="103" t="inlineStr">
        <is>
          <t>Valor (COP)</t>
        </is>
      </c>
    </row>
    <row r="45">
      <c r="A45" s="104" t="inlineStr">
        <is>
          <t>Suscripciones de herramientas (parte asignada)</t>
        </is>
      </c>
      <c r="B45" s="104" t="inlineStr"/>
      <c r="C45" s="104" t="n">
        <v>50.06</v>
      </c>
      <c r="D45" s="104" t="n">
        <v>165200</v>
      </c>
    </row>
    <row r="46">
      <c r="A46" s="104" t="inlineStr">
        <is>
          <t>Mano de obra / direccion creativa</t>
        </is>
      </c>
      <c r="B46" s="104" t="inlineStr"/>
      <c r="C46" s="104" t="n">
        <v>416.67</v>
      </c>
      <c r="D46" s="104" t="n">
        <v>1375000</v>
      </c>
    </row>
    <row r="47">
      <c r="A47" s="106" t="inlineStr">
        <is>
          <t>COSTO TOTAL DEL PROYECTO (Opcion B)</t>
        </is>
      </c>
      <c r="B47" s="106" t="inlineStr"/>
      <c r="C47" s="106" t="n">
        <v>777.7</v>
      </c>
      <c r="D47" s="106" t="n">
        <v>2566401</v>
      </c>
    </row>
    <row r="48">
      <c r="A48" s="106" t="inlineStr">
        <is>
          <t>PRECIO TOTAL AL CLIENTE (costo x (1+margen 60%))</t>
        </is>
      </c>
      <c r="B48" s="106" t="inlineStr"/>
      <c r="C48" s="106" t="n">
        <v>1244.32</v>
      </c>
      <c r="D48" s="106" t="n">
        <v>4106241.6</v>
      </c>
    </row>
    <row r="49">
      <c r="A49" s="104" t="inlineStr">
        <is>
          <t>Precio por referencia</t>
        </is>
      </c>
      <c r="B49" s="104" t="inlineStr"/>
      <c r="C49" s="104" t="inlineStr"/>
      <c r="D49" s="104" t="n">
        <v>74658.89999999999</v>
      </c>
    </row>
    <row r="50">
      <c r="A50" s="104" t="inlineStr">
        <is>
          <t>Utilidad neta estimada del proyecto</t>
        </is>
      </c>
      <c r="B50" s="104" t="inlineStr"/>
      <c r="C50" s="104" t="n">
        <v>466.62</v>
      </c>
      <c r="D50" s="104" t="n">
        <v>1539840.6</v>
      </c>
    </row>
    <row r="53">
      <c r="A53" s="102" t="inlineStr">
        <is>
          <t>7) COMPARATIVA vs. PRECIO PREVIAMENTE PUBLICADO</t>
        </is>
      </c>
    </row>
    <row r="54">
      <c r="A54" s="103" t="inlineStr">
        <is>
          <t>Concepto</t>
        </is>
      </c>
      <c r="B54" s="103" t="inlineStr">
        <is>
          <t>Valor anterior (COP)</t>
        </is>
      </c>
      <c r="C54" s="103" t="inlineStr">
        <is>
          <t>Valor recalculado (COP)</t>
        </is>
      </c>
      <c r="D54" s="103" t="inlineStr">
        <is>
          <t>Diferencia</t>
        </is>
      </c>
    </row>
    <row r="55">
      <c r="A55" s="104" t="inlineStr">
        <is>
          <t>Precio total Opcion B</t>
        </is>
      </c>
      <c r="B55" s="104" t="n">
        <v>3911093</v>
      </c>
      <c r="C55" s="104" t="n">
        <v>4106241.6</v>
      </c>
      <c r="D55" s="104" t="n">
        <v>195148.6</v>
      </c>
    </row>
    <row r="56">
      <c r="A56" s="104" t="inlineStr">
        <is>
          <t>Precio por referencia</t>
        </is>
      </c>
      <c r="B56" s="104" t="n">
        <v>71111</v>
      </c>
      <c r="C56" s="104" t="n">
        <v>74658.89999999999</v>
      </c>
      <c r="D56" s="104" t="n">
        <v>3547.9</v>
      </c>
    </row>
    <row r="59" ht="45" customHeight="1" s="51">
      <c r="A59" s="107" t="inlineStr">
        <is>
          <t>Nota: el precio anterior no tenia un desglose linea por linea documentado en este archivo. Esta hoja formaliza la composicion 3 fotos en 4K + 3 fotos en 2K con escalado Topaz al 100%, y su precio recalculado ($4.106.242) es el que debe reflejarse en la cotizacion.</t>
        </is>
      </c>
    </row>
  </sheetData>
  <mergeCells count="1">
    <mergeCell ref="A59:D5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2026-07-20T01:58:50Z</dcterms:created>
  <dcterms:modified xmlns:dcterms="http://purl.org/dc/terms/" xmlns:xsi="http://www.w3.org/2001/XMLSchema-instance" xsi:type="dcterms:W3CDTF">2026-07-23T00:59:38Z</dcterms:modified>
  <cp:revision>0</cp:revision>
</cp:coreProperties>
</file>